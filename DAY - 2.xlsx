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ms-excel.slicerCache+xml" PartName="/xl/slicerCaches/slicerCache1.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olutions" sheetId="2" r:id="rId6"/>
  </sheets>
  <definedNames>
    <definedName hidden="1" localSheetId="0" name="Z_0BA9FAAD_79E0_46D4_A9A6_BE08B41C27F1_.wvu.FilterData">Sheet1!$A$1:$I$51</definedName>
    <definedName name="SlicerCache_Table_1_Col_5">#N/A</definedName>
  </definedNames>
  <calcPr/>
  <customWorkbookViews>
    <customWorkbookView activeSheetId="0" maximized="1" windowHeight="0" windowWidth="0" guid="{0BA9FAAD-79E0-46D4-A9A6-BE08B41C27F1}" name="Filter 1"/>
  </customWorkbookViews>
  <pivotCaches>
    <pivotCache cacheId="0" r:id="rId7"/>
  </pivotCaches>
  <extLst>
    <ext uri="{46BE6895-7355-4a93-B00E-2C351335B9C9}">
      <x15:slicerCaches>
        <x14:slicerCache r:id="rId8"/>
      </x15:slicerCaches>
    </ext>
  </extLst>
</workbook>
</file>

<file path=xl/sharedStrings.xml><?xml version="1.0" encoding="utf-8"?>
<sst xmlns="http://schemas.openxmlformats.org/spreadsheetml/2006/main" count="357" uniqueCount="105">
  <si>
    <t xml:space="preserve"> Employee ID</t>
  </si>
  <si>
    <t>Name</t>
  </si>
  <si>
    <t>Department</t>
  </si>
  <si>
    <t>Product</t>
  </si>
  <si>
    <t>Region</t>
  </si>
  <si>
    <t>Units Sold</t>
  </si>
  <si>
    <t>Unit Price</t>
  </si>
  <si>
    <t>Date of Sale</t>
  </si>
  <si>
    <t>Total Sale</t>
  </si>
  <si>
    <t>E1000</t>
  </si>
  <si>
    <t>Grace</t>
  </si>
  <si>
    <t>Finance</t>
  </si>
  <si>
    <t>Phone</t>
  </si>
  <si>
    <t>West</t>
  </si>
  <si>
    <t>E1001</t>
  </si>
  <si>
    <t>Tablet</t>
  </si>
  <si>
    <t>South</t>
  </si>
  <si>
    <t>E1002</t>
  </si>
  <si>
    <t>Frank</t>
  </si>
  <si>
    <t>Sales</t>
  </si>
  <si>
    <t>E1003</t>
  </si>
  <si>
    <t>David</t>
  </si>
  <si>
    <t>North</t>
  </si>
  <si>
    <t>E1004</t>
  </si>
  <si>
    <t>Monitor</t>
  </si>
  <si>
    <t>E1005</t>
  </si>
  <si>
    <t>Alice</t>
  </si>
  <si>
    <t>HR</t>
  </si>
  <si>
    <t>Laptop</t>
  </si>
  <si>
    <t>E1006</t>
  </si>
  <si>
    <t>E1007</t>
  </si>
  <si>
    <t>E1008</t>
  </si>
  <si>
    <t>Jack</t>
  </si>
  <si>
    <t>East</t>
  </si>
  <si>
    <t>E1009</t>
  </si>
  <si>
    <t>Marketing</t>
  </si>
  <si>
    <t>E1010</t>
  </si>
  <si>
    <t>Hannah</t>
  </si>
  <si>
    <t>IT</t>
  </si>
  <si>
    <t>E1011</t>
  </si>
  <si>
    <t>E1012</t>
  </si>
  <si>
    <t>Ivy</t>
  </si>
  <si>
    <t>E1013</t>
  </si>
  <si>
    <t>Eve</t>
  </si>
  <si>
    <t>E1014</t>
  </si>
  <si>
    <t>E1015</t>
  </si>
  <si>
    <t>E1016</t>
  </si>
  <si>
    <t>E1017</t>
  </si>
  <si>
    <t>E1018</t>
  </si>
  <si>
    <t>E1019</t>
  </si>
  <si>
    <t>E1020</t>
  </si>
  <si>
    <t>Bob</t>
  </si>
  <si>
    <t>E1021</t>
  </si>
  <si>
    <t>E1022</t>
  </si>
  <si>
    <t>E1023</t>
  </si>
  <si>
    <t>E1024</t>
  </si>
  <si>
    <t>E1025</t>
  </si>
  <si>
    <t>Charlie</t>
  </si>
  <si>
    <t>E1026</t>
  </si>
  <si>
    <t>E1027</t>
  </si>
  <si>
    <t>E1028</t>
  </si>
  <si>
    <t>E1029</t>
  </si>
  <si>
    <t>E1030</t>
  </si>
  <si>
    <t>E1031</t>
  </si>
  <si>
    <t>E1032</t>
  </si>
  <si>
    <t>E1033</t>
  </si>
  <si>
    <t>E1034</t>
  </si>
  <si>
    <t>E1035</t>
  </si>
  <si>
    <t>E1036</t>
  </si>
  <si>
    <t>E1037</t>
  </si>
  <si>
    <t>Keyboard</t>
  </si>
  <si>
    <t>E1038</t>
  </si>
  <si>
    <t>E1039</t>
  </si>
  <si>
    <t>E1040</t>
  </si>
  <si>
    <t>E1041</t>
  </si>
  <si>
    <t>E1042</t>
  </si>
  <si>
    <t>E1043</t>
  </si>
  <si>
    <t>E1044</t>
  </si>
  <si>
    <t>E1045</t>
  </si>
  <si>
    <t>E1046</t>
  </si>
  <si>
    <t>E1047</t>
  </si>
  <si>
    <t>E1048</t>
  </si>
  <si>
    <t>E1049</t>
  </si>
  <si>
    <t>Lookup Questions</t>
  </si>
  <si>
    <t>Formulas</t>
  </si>
  <si>
    <t/>
  </si>
  <si>
    <t>Pivot Tables</t>
  </si>
  <si>
    <t>1. VLOOKUP Dept by Emp ID (E1005)</t>
  </si>
  <si>
    <t>Total Sales</t>
  </si>
  <si>
    <t>Avg Unit Price</t>
  </si>
  <si>
    <t>Sales Count</t>
  </si>
  <si>
    <t>2. HLOOKUP Product Header</t>
  </si>
  <si>
    <t>3. XLOOKUP Region by Product (Tablet)</t>
  </si>
  <si>
    <t>4. VLOOKUP Unit Price (E1010)</t>
  </si>
  <si>
    <t>5. INDEX+MATCH Unit Price (E1010)</t>
  </si>
  <si>
    <t>Grand Total</t>
  </si>
  <si>
    <t>6. XLOOKUP Total Sale by Emp (Frank)</t>
  </si>
  <si>
    <t>7. XLOOKUP Units Sold by Product (Monitor)</t>
  </si>
  <si>
    <t>8. LOOKUP Name by ID (E1020)</t>
  </si>
  <si>
    <t>9. FILTER Units &gt; 90</t>
  </si>
  <si>
    <t>10. CHOOSE Example</t>
  </si>
  <si>
    <t>Date of Sale - Year-Month</t>
  </si>
  <si>
    <t>Max Unit Price</t>
  </si>
  <si>
    <t>2023-Jan</t>
  </si>
  <si>
    <t>2023-Feb</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</si>
</sst>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m/d/yyyy h:mm:ss"/>
  </numFmts>
  <fonts count="5">
    <font>
      <sz val="10.0"/>
      <color rgb="FF000000"/>
      <name val="Arial"/>
      <scheme val="minor"/>
    </font>
    <font>
      <sz val="11.0"/>
      <color theme="1"/>
      <name val="Calibri"/>
    </font>
    <font>
      <color theme="1"/>
      <name val="Arial"/>
    </font>
    <font>
      <b/>
      <color theme="1"/>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Alignment="1" applyFont="1">
      <alignment vertical="bottom"/>
    </xf>
    <xf borderId="0" fillId="0" fontId="1" numFmtId="0" xfId="0" applyAlignment="1" applyFont="1">
      <alignment vertical="bottom"/>
    </xf>
    <xf borderId="0" fillId="0" fontId="1" numFmtId="0" xfId="0" applyAlignment="1" applyFont="1">
      <alignment horizontal="right" vertical="bottom"/>
    </xf>
    <xf borderId="0" fillId="0" fontId="1" numFmtId="164" xfId="0" applyAlignment="1" applyFont="1" applyNumberFormat="1">
      <alignment horizontal="right" vertical="bottom"/>
    </xf>
    <xf borderId="0" fillId="0" fontId="3" numFmtId="0" xfId="0" applyFont="1"/>
    <xf borderId="0" fillId="0" fontId="4" numFmtId="0" xfId="0" applyFont="1"/>
    <xf borderId="0" fillId="0" fontId="4" numFmtId="0" xfId="0" applyAlignment="1" applyFont="1">
      <alignment readingOrder="0"/>
    </xf>
    <xf borderId="0" fillId="0" fontId="4" numFmtId="165" xfId="0" applyFont="1" applyNumberFormat="1"/>
  </cellXfs>
  <cellStyles count="1">
    <cellStyle xfId="0" name="Normal" builtinId="0"/>
  </cellStyles>
  <dxfs count="7">
    <dxf>
      <font/>
      <fill>
        <patternFill patternType="none"/>
      </fill>
      <border/>
    </dxf>
    <dxf>
      <font/>
      <fill>
        <patternFill patternType="none"/>
      </fill>
      <border/>
    </dxf>
    <dxf>
      <font>
        <color rgb="FF000000"/>
      </font>
      <fill>
        <patternFill patternType="solid">
          <fgColor rgb="FFFFFFFF"/>
          <bgColor rgb="FFFFFFFF"/>
        </patternFill>
      </fill>
      <border/>
    </dxf>
    <dxf>
      <font>
        <color rgb="FF000000"/>
      </font>
      <fill>
        <patternFill patternType="solid">
          <fgColor rgb="FFF3F3F3"/>
          <bgColor rgb="FFF3F3F3"/>
        </patternFill>
      </fill>
      <border>
        <right style="thin">
          <color rgb="FFFFFFFF"/>
        </right>
      </border>
    </dxf>
    <dxf>
      <font>
        <color rgb="FFFFFFFF"/>
      </font>
      <fill>
        <patternFill patternType="solid">
          <fgColor rgb="FF666666"/>
          <bgColor rgb="FF666666"/>
        </patternFill>
      </fill>
      <border>
        <bottom style="thin">
          <color rgb="FFFFFFFF"/>
        </bottom>
      </border>
    </dxf>
    <dxf>
      <font>
        <color rgb="FF000000"/>
      </font>
      <fill>
        <patternFill patternType="solid">
          <fgColor rgb="FFD9D9D9"/>
          <bgColor rgb="FFD9D9D9"/>
        </patternFill>
      </fill>
      <border>
        <top style="thin">
          <color rgb="FFFFFFFF"/>
        </top>
      </border>
    </dxf>
    <dxf>
      <font>
        <b/>
        <color rgb="FF000000"/>
      </font>
      <fill>
        <patternFill patternType="solid">
          <fgColor rgb="FFD9D9D9"/>
          <bgColor rgb="FFD9D9D9"/>
        </patternFill>
      </fill>
      <border>
        <top style="double">
          <color rgb="FF000000"/>
        </top>
      </border>
    </dxf>
  </dxfs>
  <tableStyles count="1">
    <tableStyle count="12" table="0" name="Google Sheets Pivot Table Style">
      <tableStyleElement dxfId="2" type="wholeTable"/>
      <tableStyleElement dxfId="3" type="firstRowSubheading"/>
      <tableStyleElement dxfId="3" type="secondRowSubheading"/>
      <tableStyleElement dxfId="3" type="thirdRowSubheading"/>
      <tableStyleElement dxfId="4" type="firstColumnSubheading"/>
      <tableStyleElement dxfId="4" type="secondColumnSubheading"/>
      <tableStyleElement dxfId="4" type="thirdColumnSubheading"/>
      <tableStyleElement dxfId="4" type="headerRow"/>
      <tableStyleElement dxfId="5" type="firstSubtotalRow"/>
      <tableStyleElement dxfId="5" type="secondSubtotalRow"/>
      <tableStyleElement dxfId="5" type="thirdSubtotalRow"/>
      <tableStyleElement dxfId="6" type="totalRow"/>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pivotCacheDefinition" Target="pivotCache/pivotCacheDefinition1.xml"/><Relationship Id="rId8" Type="http://schemas.microsoft.com/office/2007/relationships/slicerCache" Target="slicerCaches/slicerCache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Units Sold by Product</a:t>
            </a:r>
          </a:p>
        </c:rich>
      </c:tx>
      <c:overlay val="0"/>
    </c:title>
    <c:plotArea>
      <c:layout/>
      <c:barChart>
        <c:barDir val="col"/>
        <c:ser>
          <c:idx val="0"/>
          <c:order val="0"/>
          <c:tx>
            <c:strRef>
              <c:f>Solutions!$L$3</c:f>
            </c:strRef>
          </c:tx>
          <c:spPr>
            <a:solidFill>
              <a:schemeClr val="accent1"/>
            </a:solidFill>
            <a:ln cmpd="sng">
              <a:noFill/>
            </a:ln>
          </c:spPr>
          <c:cat>
            <c:strRef>
              <c:f>Solutions!$K$4:$K$8</c:f>
            </c:strRef>
          </c:cat>
          <c:val>
            <c:numRef>
              <c:f>Solutions!$L$4:$L$8</c:f>
              <c:numCache/>
            </c:numRef>
          </c:val>
        </c:ser>
        <c:axId val="713981964"/>
        <c:axId val="1298877740"/>
      </c:barChart>
      <c:catAx>
        <c:axId val="7139819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Product</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98877740"/>
      </c:catAx>
      <c:valAx>
        <c:axId val="12988777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Units Sold</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13981964"/>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Department Sales Over Time</a:t>
            </a:r>
          </a:p>
        </c:rich>
      </c:tx>
      <c:overlay val="0"/>
    </c:title>
    <c:plotArea>
      <c:layout/>
      <c:lineChart>
        <c:ser>
          <c:idx val="0"/>
          <c:order val="0"/>
          <c:tx>
            <c:strRef>
              <c:f>Solutions!$L$16</c:f>
            </c:strRef>
          </c:tx>
          <c:spPr>
            <a:ln cmpd="sng">
              <a:solidFill>
                <a:srgbClr val="4285F4"/>
              </a:solidFill>
            </a:ln>
          </c:spPr>
          <c:marker>
            <c:symbol val="none"/>
          </c:marker>
          <c:cat>
            <c:strRef>
              <c:f>Solutions!$K$17:$K$18</c:f>
            </c:strRef>
          </c:cat>
          <c:val>
            <c:numRef>
              <c:f>Solutions!$L$17:$L$18</c:f>
              <c:numCache/>
            </c:numRef>
          </c:val>
          <c:smooth val="0"/>
        </c:ser>
        <c:ser>
          <c:idx val="1"/>
          <c:order val="1"/>
          <c:tx>
            <c:strRef>
              <c:f>Solutions!$M$16</c:f>
            </c:strRef>
          </c:tx>
          <c:spPr>
            <a:ln cmpd="sng">
              <a:solidFill>
                <a:srgbClr val="EA4335"/>
              </a:solidFill>
            </a:ln>
          </c:spPr>
          <c:marker>
            <c:symbol val="none"/>
          </c:marker>
          <c:cat>
            <c:strRef>
              <c:f>Solutions!$K$17:$K$18</c:f>
            </c:strRef>
          </c:cat>
          <c:val>
            <c:numRef>
              <c:f>Solutions!$M$17:$M$18</c:f>
              <c:numCache/>
            </c:numRef>
          </c:val>
          <c:smooth val="0"/>
        </c:ser>
        <c:ser>
          <c:idx val="2"/>
          <c:order val="2"/>
          <c:tx>
            <c:strRef>
              <c:f>Solutions!$N$16</c:f>
            </c:strRef>
          </c:tx>
          <c:spPr>
            <a:ln cmpd="sng">
              <a:solidFill>
                <a:srgbClr val="FBBC04"/>
              </a:solidFill>
            </a:ln>
          </c:spPr>
          <c:marker>
            <c:symbol val="none"/>
          </c:marker>
          <c:cat>
            <c:strRef>
              <c:f>Solutions!$K$17:$K$18</c:f>
            </c:strRef>
          </c:cat>
          <c:val>
            <c:numRef>
              <c:f>Solutions!$N$17:$N$18</c:f>
              <c:numCache/>
            </c:numRef>
          </c:val>
          <c:smooth val="0"/>
        </c:ser>
        <c:ser>
          <c:idx val="3"/>
          <c:order val="3"/>
          <c:tx>
            <c:strRef>
              <c:f>Solutions!$O$16</c:f>
            </c:strRef>
          </c:tx>
          <c:spPr>
            <a:ln cmpd="sng">
              <a:solidFill>
                <a:srgbClr val="34A853"/>
              </a:solidFill>
            </a:ln>
          </c:spPr>
          <c:marker>
            <c:symbol val="none"/>
          </c:marker>
          <c:cat>
            <c:strRef>
              <c:f>Solutions!$K$17:$K$18</c:f>
            </c:strRef>
          </c:cat>
          <c:val>
            <c:numRef>
              <c:f>Solutions!$O$17:$O$18</c:f>
              <c:numCache/>
            </c:numRef>
          </c:val>
          <c:smooth val="0"/>
        </c:ser>
        <c:ser>
          <c:idx val="4"/>
          <c:order val="4"/>
          <c:tx>
            <c:strRef>
              <c:f>Solutions!$P$16</c:f>
            </c:strRef>
          </c:tx>
          <c:spPr>
            <a:ln cmpd="sng">
              <a:solidFill>
                <a:srgbClr val="FF6D01"/>
              </a:solidFill>
            </a:ln>
          </c:spPr>
          <c:marker>
            <c:symbol val="none"/>
          </c:marker>
          <c:cat>
            <c:strRef>
              <c:f>Solutions!$K$17:$K$18</c:f>
            </c:strRef>
          </c:cat>
          <c:val>
            <c:numRef>
              <c:f>Solutions!$P$17:$P$18</c:f>
              <c:numCache/>
            </c:numRef>
          </c:val>
          <c:smooth val="0"/>
        </c:ser>
        <c:axId val="733608141"/>
        <c:axId val="996838936"/>
      </c:lineChart>
      <c:catAx>
        <c:axId val="7336081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96838936"/>
      </c:catAx>
      <c:valAx>
        <c:axId val="9968389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Sales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33608141"/>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Region-wise Product Sales</a:t>
            </a:r>
          </a:p>
        </c:rich>
      </c:tx>
      <c:overlay val="0"/>
    </c:title>
    <c:plotArea>
      <c:layout/>
      <c:barChart>
        <c:barDir val="col"/>
        <c:ser>
          <c:idx val="0"/>
          <c:order val="0"/>
          <c:tx>
            <c:strRef>
              <c:f>Solutions!$F$31</c:f>
            </c:strRef>
          </c:tx>
          <c:spPr>
            <a:solidFill>
              <a:schemeClr val="accent1"/>
            </a:solidFill>
            <a:ln cmpd="sng">
              <a:noFill/>
            </a:ln>
          </c:spPr>
          <c:cat>
            <c:strRef>
              <c:f>Solutions!$E$32:$E$35</c:f>
            </c:strRef>
          </c:cat>
          <c:val>
            <c:numRef>
              <c:f>Solutions!$F$32:$F$35</c:f>
              <c:numCache/>
            </c:numRef>
          </c:val>
        </c:ser>
        <c:ser>
          <c:idx val="1"/>
          <c:order val="1"/>
          <c:tx>
            <c:strRef>
              <c:f>Solutions!$G$31</c:f>
            </c:strRef>
          </c:tx>
          <c:spPr>
            <a:solidFill>
              <a:schemeClr val="accent2"/>
            </a:solidFill>
            <a:ln cmpd="sng">
              <a:noFill/>
            </a:ln>
          </c:spPr>
          <c:cat>
            <c:strRef>
              <c:f>Solutions!$E$32:$E$35</c:f>
            </c:strRef>
          </c:cat>
          <c:val>
            <c:numRef>
              <c:f>Solutions!$G$32:$G$35</c:f>
              <c:numCache/>
            </c:numRef>
          </c:val>
        </c:ser>
        <c:ser>
          <c:idx val="2"/>
          <c:order val="2"/>
          <c:tx>
            <c:strRef>
              <c:f>Solutions!$H$31</c:f>
            </c:strRef>
          </c:tx>
          <c:spPr>
            <a:solidFill>
              <a:schemeClr val="accent3"/>
            </a:solidFill>
            <a:ln cmpd="sng">
              <a:noFill/>
            </a:ln>
          </c:spPr>
          <c:cat>
            <c:strRef>
              <c:f>Solutions!$E$32:$E$35</c:f>
            </c:strRef>
          </c:cat>
          <c:val>
            <c:numRef>
              <c:f>Solutions!$H$32:$H$35</c:f>
              <c:numCache/>
            </c:numRef>
          </c:val>
        </c:ser>
        <c:ser>
          <c:idx val="3"/>
          <c:order val="3"/>
          <c:tx>
            <c:strRef>
              <c:f>Solutions!$I$31</c:f>
            </c:strRef>
          </c:tx>
          <c:spPr>
            <a:solidFill>
              <a:schemeClr val="accent4"/>
            </a:solidFill>
            <a:ln cmpd="sng">
              <a:noFill/>
            </a:ln>
          </c:spPr>
          <c:cat>
            <c:strRef>
              <c:f>Solutions!$E$32:$E$35</c:f>
            </c:strRef>
          </c:cat>
          <c:val>
            <c:numRef>
              <c:f>Solutions!$I$32:$I$35</c:f>
              <c:numCache/>
            </c:numRef>
          </c:val>
        </c:ser>
        <c:ser>
          <c:idx val="4"/>
          <c:order val="4"/>
          <c:tx>
            <c:strRef>
              <c:f>Solutions!$J$31</c:f>
            </c:strRef>
          </c:tx>
          <c:spPr>
            <a:solidFill>
              <a:schemeClr val="accent5"/>
            </a:solidFill>
            <a:ln cmpd="sng">
              <a:noFill/>
            </a:ln>
          </c:spPr>
          <c:cat>
            <c:strRef>
              <c:f>Solutions!$E$32:$E$35</c:f>
            </c:strRef>
          </c:cat>
          <c:val>
            <c:numRef>
              <c:f>Solutions!$J$32:$J$35</c:f>
              <c:numCache/>
            </c:numRef>
          </c:val>
        </c:ser>
        <c:axId val="1582666933"/>
        <c:axId val="916766898"/>
      </c:barChart>
      <c:catAx>
        <c:axId val="15826669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16766898"/>
      </c:catAx>
      <c:valAx>
        <c:axId val="91676689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Sales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82666933"/>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41</xdr:row>
      <xdr:rowOff>0</xdr:rowOff>
    </xdr:from>
    <xdr:ext cx="3810000" cy="2857500"/>
    <xdr:graphicFrame>
      <xdr:nvGraphicFramePr>
        <xdr:cNvPr id="1" name="Chart 1" title="Units Sold by Produc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14</xdr:col>
      <xdr:colOff>0</xdr:colOff>
      <xdr:row>41</xdr:row>
      <xdr:rowOff>0</xdr:rowOff>
    </xdr:from>
    <xdr:ext cx="4762500" cy="2857500"/>
    <xdr:graphicFrame>
      <xdr:nvGraphicFramePr>
        <xdr:cNvPr id="2" name="Chart 2" title="Department Sales Over Time"/>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0</xdr:colOff>
      <xdr:row>41</xdr:row>
      <xdr:rowOff>0</xdr:rowOff>
    </xdr:from>
    <xdr:ext cx="4762500" cy="2857500"/>
    <xdr:graphicFrame>
      <xdr:nvGraphicFramePr>
        <xdr:cNvPr id="3" name="Chart 3" title="Region-wise Product Sales"/>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16</xdr:row>
      <xdr:rowOff>0</xdr:rowOff>
    </xdr:from>
    <xdr:ext cx="1905000" cy="2857500"/>
    <mc:AlternateContent>
      <mc:Choice Requires="sle15">
        <xdr:graphicFrame>
          <xdr:nvGraphicFramePr>
            <xdr:cNvPr id="1" name="Region_1"/>
            <xdr:cNvGraphicFramePr/>
          </xdr:nvGraphicFramePr>
          <xdr:xfrm>
            <a:off x="0" y="0"/>
            <a:ext cx="0" cy="0"/>
          </xdr:xfrm>
          <a:graphic>
            <a:graphicData uri="http://schemas.microsoft.com/office/drawing/2010/slicer">
              <x3Unk:slicer name="Regio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51" sheet="Sheet1"/>
  </cacheSource>
  <cacheFields>
    <cacheField name=" Employee ID" numFmtId="0">
      <sharedItems>
        <s v="E1000"/>
        <s v="E1001"/>
        <s v="E1002"/>
        <s v="E1003"/>
        <s v="E1004"/>
        <s v="E1005"/>
        <s v="E1006"/>
        <s v="E1007"/>
        <s v="E1008"/>
        <s v="E1009"/>
        <s v="E1010"/>
        <s v="E1011"/>
        <s v="E1012"/>
        <s v="E1013"/>
        <s v="E1014"/>
        <s v="E1015"/>
        <s v="E1016"/>
        <s v="E1017"/>
        <s v="E1018"/>
        <s v="E1019"/>
        <s v="E1020"/>
        <s v="E1021"/>
        <s v="E1022"/>
        <s v="E1023"/>
        <s v="E1024"/>
        <s v="E1025"/>
        <s v="E1026"/>
        <s v="E1027"/>
        <s v="E1028"/>
        <s v="E1029"/>
        <s v="E1030"/>
        <s v="E1031"/>
        <s v="E1032"/>
        <s v="E1033"/>
        <s v="E1034"/>
        <s v="E1035"/>
        <s v="E1036"/>
        <s v="E1037"/>
        <s v="E1038"/>
        <s v="E1039"/>
        <s v="E1040"/>
        <s v="E1041"/>
        <s v="E1042"/>
        <s v="E1043"/>
        <s v="E1044"/>
        <s v="E1045"/>
        <s v="E1046"/>
        <s v="E1047"/>
        <s v="E1048"/>
        <s v="E1049"/>
      </sharedItems>
    </cacheField>
    <cacheField name="Name" numFmtId="0">
      <sharedItems>
        <s v="Grace"/>
        <s v="Frank"/>
        <s v="David"/>
        <s v="Alice"/>
        <s v="Jack"/>
        <s v="Hannah"/>
        <s v="Ivy"/>
        <s v="Eve"/>
        <s v="Bob"/>
        <s v="Charlie"/>
      </sharedItems>
    </cacheField>
    <cacheField name="Department" numFmtId="0">
      <sharedItems>
        <s v="Finance"/>
        <s v="Sales"/>
        <s v="HR"/>
        <s v="Marketing"/>
        <s v="IT"/>
      </sharedItems>
    </cacheField>
    <cacheField name="Product" numFmtId="0">
      <sharedItems>
        <s v="Phone"/>
        <s v="Tablet"/>
        <s v="Monitor"/>
        <s v="Laptop"/>
        <s v="Keyboard"/>
      </sharedItems>
    </cacheField>
    <cacheField name="Region" numFmtId="0">
      <sharedItems>
        <s v="West"/>
        <s v="South"/>
        <s v="North"/>
        <s v="East"/>
      </sharedItems>
    </cacheField>
    <cacheField name="Units Sold" numFmtId="0">
      <sharedItems containsSemiMixedTypes="0" containsString="0" containsNumber="1" containsInteger="1">
        <n v="52.0"/>
        <n v="20.0"/>
        <n v="74.0"/>
        <n v="12.0"/>
        <n v="24.0"/>
        <n v="26.0"/>
        <n v="39.0"/>
        <n v="36.0"/>
        <n v="88.0"/>
        <n v="95.0"/>
        <n v="16.0"/>
        <n v="11.0"/>
        <n v="28.0"/>
        <n v="76.0"/>
        <n v="47.0"/>
        <n v="60.0"/>
        <n v="62.0"/>
        <n v="57.0"/>
        <n v="32.0"/>
        <n v="64.0"/>
        <n v="25.0"/>
        <n v="43.0"/>
        <n v="18.0"/>
        <n v="2.0"/>
        <n v="84.0"/>
        <n v="65.0"/>
        <n v="30.0"/>
        <n v="70.0"/>
        <n v="87.0"/>
        <n v="33.0"/>
        <n v="46.0"/>
        <n v="14.0"/>
        <n v="59.0"/>
        <n v="71.0"/>
        <n v="80.0"/>
        <n v="37.0"/>
        <n v="99.0"/>
        <n v="82.0"/>
        <n v="97.0"/>
        <n v="94.0"/>
        <n v="63.0"/>
        <n v="83.0"/>
      </sharedItems>
    </cacheField>
    <cacheField name="Unit Price" numFmtId="0">
      <sharedItems containsSemiMixedTypes="0" containsString="0" containsNumber="1" containsInteger="1">
        <n v="3890.0"/>
        <n v="1050.0"/>
        <n v="1334.0"/>
        <n v="2991.0"/>
        <n v="1326.0"/>
        <n v="2871.0"/>
        <n v="4625.0"/>
        <n v="2257.0"/>
        <n v="3168.0"/>
        <n v="2360.0"/>
        <n v="4264.0"/>
        <n v="4003.0"/>
        <n v="4411.0"/>
        <n v="4104.0"/>
        <n v="3342.0"/>
        <n v="1647.0"/>
        <n v="2045.0"/>
        <n v="3073.0"/>
        <n v="2641.0"/>
        <n v="1582.0"/>
        <n v="3773.0"/>
        <n v="2213.0"/>
        <n v="1518.0"/>
        <n v="1042.0"/>
        <n v="2178.0"/>
        <n v="4439.0"/>
        <n v="1148.0"/>
        <n v="4067.0"/>
        <n v="3294.0"/>
        <n v="2269.0"/>
        <n v="2832.0"/>
        <n v="3414.0"/>
        <n v="1579.0"/>
        <n v="1342.0"/>
        <n v="1297.0"/>
        <n v="4518.0"/>
        <n v="2925.0"/>
        <n v="4951.0"/>
        <n v="1757.0"/>
        <n v="4412.0"/>
        <n v="1396.0"/>
        <n v="4050.0"/>
        <n v="3780.0"/>
        <n v="1075.0"/>
        <n v="2152.0"/>
        <n v="4983.0"/>
        <n v="4591.0"/>
        <n v="1793.0"/>
        <n v="3764.0"/>
        <n v="4055.0"/>
      </sharedItems>
    </cacheField>
    <cacheField name="Date of Sale" numFmtId="164">
      <sharedItems containsSemiMixedTypes="0" containsDate="1" containsString="0">
        <d v="2023-01-01T00:00:00Z"/>
        <d v="2023-01-02T00:00:00Z"/>
        <d v="2023-01-03T00:00:00Z"/>
        <d v="2023-01-04T00:00:00Z"/>
        <d v="2023-01-05T00:00:00Z"/>
        <d v="2023-01-06T00:00:00Z"/>
        <d v="2023-01-07T00:00:00Z"/>
        <d v="2023-01-08T00:00:00Z"/>
        <d v="2023-01-09T00:00:00Z"/>
        <d v="2023-01-10T00:00:00Z"/>
        <d v="2023-01-11T00:00:00Z"/>
        <d v="2023-01-12T00:00:00Z"/>
        <d v="2023-01-13T00:00:00Z"/>
        <d v="2023-01-14T00:00:00Z"/>
        <d v="2023-01-15T00:00:00Z"/>
        <d v="2023-01-16T00:00:00Z"/>
        <d v="2023-01-17T00:00:00Z"/>
        <d v="2023-01-18T00:00:00Z"/>
        <d v="2023-01-19T00:00:00Z"/>
        <d v="2023-01-20T00:00:00Z"/>
        <d v="2023-01-21T00:00:00Z"/>
        <d v="2023-01-22T00:00:00Z"/>
        <d v="2023-01-23T00:00:00Z"/>
        <d v="2023-01-24T00:00:00Z"/>
        <d v="2023-01-25T00:00:00Z"/>
        <d v="2023-01-26T00:00:00Z"/>
        <d v="2023-01-27T00:00:00Z"/>
        <d v="2023-01-28T00:00:00Z"/>
        <d v="2023-01-29T00:00:00Z"/>
        <d v="2023-01-30T00:00:00Z"/>
        <d v="2023-01-31T00:00:00Z"/>
        <d v="2023-02-01T00:00:00Z"/>
        <d v="2023-02-02T00:00:00Z"/>
        <d v="2023-02-03T00:00:00Z"/>
        <d v="2023-02-04T00:00:00Z"/>
        <d v="2023-02-05T00:00:00Z"/>
        <d v="2023-02-06T00:00:00Z"/>
        <d v="2023-02-07T00:00:00Z"/>
        <d v="2023-02-08T00:00:00Z"/>
        <d v="2023-02-09T00:00:00Z"/>
        <d v="2023-02-10T00:00:00Z"/>
        <d v="2023-02-11T00:00:00Z"/>
        <d v="2023-02-12T00:00:00Z"/>
        <d v="2023-02-13T00:00:00Z"/>
        <d v="2023-02-14T00:00:00Z"/>
        <d v="2023-02-15T00:00:00Z"/>
        <d v="2023-02-16T00:00:00Z"/>
        <d v="2023-02-17T00:00:00Z"/>
        <d v="2023-02-18T00:00:00Z"/>
        <d v="2023-02-19T00:00:00Z"/>
      </sharedItems>
    </cacheField>
    <cacheField name="Total Sale" numFmtId="0">
      <sharedItems containsSemiMixedTypes="0" containsString="0" containsNumber="1" containsInteger="1">
        <n v="202280.0"/>
        <n v="21000.0"/>
        <n v="98716.0"/>
        <n v="35892.0"/>
        <n v="31824.0"/>
        <n v="74646.0"/>
        <n v="180375.0"/>
        <n v="81252.0"/>
        <n v="278784.0"/>
        <n v="224200.0"/>
        <n v="68224.0"/>
        <n v="44033.0"/>
        <n v="123508.0"/>
        <n v="311904.0"/>
        <n v="247308.0"/>
        <n v="77409.0"/>
        <n v="122700.0"/>
        <n v="190526.0"/>
        <n v="150537.0"/>
        <n v="50624.0"/>
        <n v="241472.0"/>
        <n v="55325.0"/>
        <n v="65274.0"/>
        <n v="18756.0"/>
        <n v="4356.0"/>
        <n v="372876.0"/>
        <n v="13776.0"/>
        <n v="264355.0"/>
        <n v="98820.0"/>
        <n v="158830.0"/>
        <n v="246384.0"/>
        <n v="112662.0"/>
        <n v="72634.0"/>
        <n v="18788.0"/>
        <n v="76523.0"/>
        <n v="320778.0"/>
        <n v="234000.0"/>
        <n v="282207.0"/>
        <n v="65009.0"/>
        <n v="105888.0"/>
        <n v="19544.0"/>
        <n v="263250.0"/>
        <n v="374220.0"/>
        <n v="106425.0"/>
        <n v="176464.0"/>
        <n v="483351.0"/>
        <n v="431554.0"/>
        <n v="112959.0"/>
        <n v="240896.0"/>
        <n v="336565.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olutions" cacheId="0" dataCaption="" compact="0" compactData="0">
  <location ref="E3:F9" firstHeaderRow="0" firstDataRow="1" firstDataCol="0" rowPageCount="1" colPageCount="1"/>
  <pivotFields>
    <pivotField name=" 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Name" compact="0" outline="0" multipleItemSelectionAllowed="1" showAll="0">
      <items>
        <item x="0"/>
        <item x="1"/>
        <item x="2"/>
        <item x="3"/>
        <item x="4"/>
        <item x="5"/>
        <item x="6"/>
        <item x="7"/>
        <item x="8"/>
        <item x="9"/>
        <item t="default"/>
      </items>
    </pivotField>
    <pivotField name="Department" axis="axisRow" compact="0" outline="0" multipleItemSelectionAllowed="1" showAll="0" sortType="ascending">
      <items>
        <item x="0"/>
        <item x="2"/>
        <item x="4"/>
        <item x="3"/>
        <item x="1"/>
        <item t="default"/>
      </items>
    </pivotField>
    <pivotField name="Product" compact="0" outline="0" multipleItemSelectionAllowed="1" showAll="0">
      <items>
        <item x="0"/>
        <item x="1"/>
        <item x="2"/>
        <item x="3"/>
        <item x="4"/>
        <item t="default"/>
      </items>
    </pivotField>
    <pivotField name="Region" axis="axisPage" compact="0" outline="0" multipleItemSelectionAllowed="1" showAll="0">
      <items>
        <item x="0"/>
        <item x="1"/>
        <item x="2"/>
        <item x="3"/>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Date of Sal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Total Sa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s>
  <rowFields>
    <field x="2"/>
  </rowFields>
  <pageFields>
    <pageField fld="4"/>
  </pageFields>
  <dataFields>
    <dataField name="Total Sales" fld="8" baseField="0"/>
  </dataFields>
  <pivotTableStyleInfo name="Google Sheets Pivot Table Style" showRowHeaders="1" showColHeaders="1" showLastColumn="1"/>
</pivotTableDefinition>
</file>

<file path=xl/pivotTables/pivotTable2.xml><?xml version="1.0" encoding="utf-8"?>
<pivotTableDefinition xmlns="http://schemas.openxmlformats.org/spreadsheetml/2006/main" name="Solutions 2" cacheId="0" dataCaption="" compact="0" compactData="0">
  <location ref="H3:I8" firstHeaderRow="0" firstDataRow="1" firstDataCol="0"/>
  <pivotFields>
    <pivotField name=" 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Name" compact="0" outline="0" multipleItemSelectionAllowed="1" showAll="0">
      <items>
        <item x="0"/>
        <item x="1"/>
        <item x="2"/>
        <item x="3"/>
        <item x="4"/>
        <item x="5"/>
        <item x="6"/>
        <item x="7"/>
        <item x="8"/>
        <item x="9"/>
        <item t="default"/>
      </items>
    </pivotField>
    <pivotField name="Department" compact="0" outline="0" multipleItemSelectionAllowed="1" showAll="0">
      <items>
        <item x="0"/>
        <item x="1"/>
        <item x="2"/>
        <item x="3"/>
        <item x="4"/>
        <item t="default"/>
      </items>
    </pivotField>
    <pivotField name="Product" compact="0" outline="0" multipleItemSelectionAllowed="1" showAll="0">
      <items>
        <item x="0"/>
        <item x="1"/>
        <item x="2"/>
        <item x="3"/>
        <item x="4"/>
        <item t="default"/>
      </items>
    </pivotField>
    <pivotField name="Region" axis="axisRow" compact="0" outline="0" multipleItemSelectionAllowed="1" showAll="0" sortType="ascending">
      <items>
        <item x="3"/>
        <item x="2"/>
        <item x="1"/>
        <item x="0"/>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Unit Pri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Date of Sal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Total Sa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s>
  <rowFields>
    <field x="4"/>
  </rowFields>
  <dataFields>
    <dataField name="Avg Unit Price" fld="6" subtotal="average" baseField="0"/>
  </dataFields>
  <pivotTableStyleInfo name="Google Sheets Pivot Table Style" showRowHeaders="1" showColHeaders="1" showLastColumn="1"/>
</pivotTableDefinition>
</file>

<file path=xl/pivotTables/pivotTable3.xml><?xml version="1.0" encoding="utf-8"?>
<pivotTableDefinition xmlns="http://schemas.openxmlformats.org/spreadsheetml/2006/main" name="Solutions 3" cacheId="0" dataCaption="" compact="0" compactData="0">
  <location ref="K3:L9" firstHeaderRow="0" firstDataRow="1" firstDataCol="0" rowPageCount="1" colPageCount="1"/>
  <pivotFields>
    <pivotField name=" 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Name" compact="0" outline="0" multipleItemSelectionAllowed="1" showAll="0">
      <items>
        <item x="0"/>
        <item x="1"/>
        <item x="2"/>
        <item x="3"/>
        <item x="4"/>
        <item x="5"/>
        <item x="6"/>
        <item x="7"/>
        <item x="8"/>
        <item x="9"/>
        <item t="default"/>
      </items>
    </pivotField>
    <pivotField name="Department" compact="0" outline="0" multipleItemSelectionAllowed="1" showAll="0">
      <items>
        <item x="0"/>
        <item x="1"/>
        <item x="2"/>
        <item x="3"/>
        <item x="4"/>
        <item t="default"/>
      </items>
    </pivotField>
    <pivotField name="Product" axis="axisRow" compact="0" outline="0" multipleItemSelectionAllowed="1" showAll="0" sortType="ascending">
      <items>
        <item x="4"/>
        <item x="3"/>
        <item x="2"/>
        <item x="0"/>
        <item x="1"/>
        <item t="default"/>
      </items>
    </pivotField>
    <pivotField name="Region" axis="axisPage" compact="0" outline="0" multipleItemSelectionAllowed="1" showAll="0">
      <items>
        <item x="0"/>
        <item x="1"/>
        <item x="2"/>
        <item x="3"/>
        <item t="default"/>
      </items>
    </pivotField>
    <pivotField name="Units Sol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Date of Sal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Total Sa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s>
  <rowFields>
    <field x="3"/>
  </rowFields>
  <pageFields>
    <pageField fld="4"/>
  </pageFields>
  <dataFields>
    <dataField name="Units Sold" fld="5" baseField="0"/>
  </dataFields>
  <pivotTableStyleInfo name="Google Sheets Pivot Table Style" showRowHeaders="1" showColHeaders="1" showLastColumn="1"/>
</pivotTableDefinition>
</file>

<file path=xl/pivotTables/pivotTable4.xml><?xml version="1.0" encoding="utf-8"?>
<pivotTableDefinition xmlns="http://schemas.openxmlformats.org/spreadsheetml/2006/main" name="Solutions 4" cacheId="0" dataCaption="" compact="0" compactData="0">
  <location ref="N3:O8" firstHeaderRow="0" firstDataRow="1" firstDataCol="0"/>
  <pivotFields>
    <pivotField name=" 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Name" compact="0" outline="0" multipleItemSelectionAllowed="1" showAll="0">
      <items>
        <item x="0"/>
        <item x="1"/>
        <item x="2"/>
        <item x="3"/>
        <item x="4"/>
        <item x="5"/>
        <item x="6"/>
        <item x="7"/>
        <item x="8"/>
        <item x="9"/>
        <item t="default"/>
      </items>
    </pivotField>
    <pivotField name="Department" compact="0" outline="0" multipleItemSelectionAllowed="1" showAll="0">
      <items>
        <item x="0"/>
        <item x="1"/>
        <item x="2"/>
        <item x="3"/>
        <item x="4"/>
        <item t="default"/>
      </items>
    </pivotField>
    <pivotField name="Product" compact="0" outline="0" multipleItemSelectionAllowed="1" showAll="0">
      <items>
        <item x="0"/>
        <item x="1"/>
        <item x="2"/>
        <item x="3"/>
        <item x="4"/>
        <item t="default"/>
      </items>
    </pivotField>
    <pivotField name="Region" axis="axisRow" compact="0" outline="0" multipleItemSelectionAllowed="1" showAll="0" sortType="ascending">
      <items>
        <item x="3"/>
        <item x="2"/>
        <item x="1"/>
        <item x="0"/>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Date of Sal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Total Sa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s>
  <rowFields>
    <field x="4"/>
  </rowFields>
  <dataFields>
    <dataField name="Sales Count" fld="8" subtotal="count" baseField="0"/>
  </dataFields>
  <pivotTableStyleInfo name="Google Sheets Pivot Table Style" showRowHeaders="1" showColHeaders="1" showLastColumn="1"/>
</pivotTableDefinition>
</file>

<file path=xl/pivotTables/pivotTable5.xml><?xml version="1.0" encoding="utf-8"?>
<pivotTableDefinition xmlns="http://schemas.openxmlformats.org/spreadsheetml/2006/main" name="Solutions 5" cacheId="0" dataCaption="" compact="0" compactData="0">
  <location ref="E15:F26" firstHeaderRow="0" firstDataRow="1" firstDataCol="0" rowPageCount="1" colPageCount="1"/>
  <pivotFields>
    <pivotField name=" 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Name" axis="axisRow" compact="0" outline="0" multipleItemSelectionAllowed="1" showAll="0" sortType="ascending">
      <items>
        <item x="3"/>
        <item x="8"/>
        <item x="9"/>
        <item x="2"/>
        <item x="7"/>
        <item x="1"/>
        <item x="0"/>
        <item x="5"/>
        <item x="6"/>
        <item x="4"/>
        <item t="default"/>
      </items>
    </pivotField>
    <pivotField name="Department" compact="0" outline="0" multipleItemSelectionAllowed="1" showAll="0">
      <items>
        <item x="0"/>
        <item x="1"/>
        <item x="2"/>
        <item x="3"/>
        <item x="4"/>
        <item t="default"/>
      </items>
    </pivotField>
    <pivotField name="Product" compact="0" outline="0" multipleItemSelectionAllowed="1" showAll="0">
      <items>
        <item x="0"/>
        <item x="1"/>
        <item x="2"/>
        <item x="3"/>
        <item x="4"/>
        <item t="default"/>
      </items>
    </pivotField>
    <pivotField name="Region" axis="axisPage" compact="0" outline="0" multipleItemSelectionAllowed="1" showAll="0">
      <items>
        <item x="0"/>
        <item x="1"/>
        <item x="2"/>
        <item x="3"/>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Date of Sal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Total Sa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s>
  <rowFields>
    <field x="1"/>
  </rowFields>
  <pageFields>
    <pageField fld="4"/>
  </pageFields>
  <dataFields>
    <dataField name="Total Sales" fld="8" baseField="0"/>
  </dataFields>
  <pivotTableStyleInfo name="Google Sheets Pivot Table Style" showRowHeaders="1" showColHeaders="1" showLastColumn="1"/>
</pivotTableDefinition>
</file>

<file path=xl/pivotTables/pivotTable6.xml><?xml version="1.0" encoding="utf-8"?>
<pivotTableDefinition xmlns="http://schemas.openxmlformats.org/spreadsheetml/2006/main" name="Solutions 6" cacheId="0" dataCaption="" compact="0" compactData="0">
  <location ref="H15:I18" firstHeaderRow="0" firstDataRow="1" firstDataCol="0" rowPageCount="1" colPageCount="1"/>
  <pivotFields>
    <pivotField name=" 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Name" compact="0" outline="0" multipleItemSelectionAllowed="1" showAll="0">
      <items>
        <item x="0"/>
        <item x="1"/>
        <item x="2"/>
        <item x="3"/>
        <item x="4"/>
        <item x="5"/>
        <item x="6"/>
        <item x="7"/>
        <item x="8"/>
        <item x="9"/>
        <item t="default"/>
      </items>
    </pivotField>
    <pivotField name="Department" compact="0" outline="0" multipleItemSelectionAllowed="1" showAll="0">
      <items>
        <item x="0"/>
        <item x="1"/>
        <item x="2"/>
        <item x="3"/>
        <item x="4"/>
        <item t="default"/>
      </items>
    </pivotField>
    <pivotField name="Product" compact="0" outline="0" multipleItemSelectionAllowed="1" showAll="0">
      <items>
        <item x="0"/>
        <item x="1"/>
        <item x="2"/>
        <item x="3"/>
        <item x="4"/>
        <item t="default"/>
      </items>
    </pivotField>
    <pivotField name="Region" axis="axisPage" compact="0" outline="0" multipleItemSelectionAllowed="1" showAll="0">
      <items>
        <item x="0"/>
        <item x="1"/>
        <item x="2"/>
        <item x="3"/>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Date of Sale" axis="axisRow" compact="0" numFmtId="164"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Total Sa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s>
  <rowFields>
    <field x="7"/>
  </rowFields>
  <pageFields>
    <pageField fld="4"/>
  </pageFields>
  <dataFields>
    <dataField name="Total Sales" fld="8" baseField="0"/>
  </dataFields>
  <pivotTableStyleInfo name="Google Sheets Pivot Table Style" showRowHeaders="1" showColHeaders="1" showLastColumn="1"/>
</pivotTableDefinition>
</file>

<file path=xl/pivotTables/pivotTable7.xml><?xml version="1.0" encoding="utf-8"?>
<pivotTableDefinition xmlns="http://schemas.openxmlformats.org/spreadsheetml/2006/main" name="Solutions 7" cacheId="0" dataCaption="" compact="0" compactData="0">
  <location ref="K15:Q19" firstHeaderRow="0" firstDataRow="1" firstDataCol="1" rowPageCount="1" colPageCount="1"/>
  <pivotFields>
    <pivotField name=" 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Name" compact="0" outline="0" multipleItemSelectionAllowed="1" showAll="0">
      <items>
        <item x="0"/>
        <item x="1"/>
        <item x="2"/>
        <item x="3"/>
        <item x="4"/>
        <item x="5"/>
        <item x="6"/>
        <item x="7"/>
        <item x="8"/>
        <item x="9"/>
        <item t="default"/>
      </items>
    </pivotField>
    <pivotField name="Department" axis="axisCol" compact="0" outline="0" multipleItemSelectionAllowed="1" showAll="0" sortType="ascending">
      <items>
        <item x="0"/>
        <item x="2"/>
        <item x="4"/>
        <item x="3"/>
        <item x="1"/>
        <item t="default"/>
      </items>
    </pivotField>
    <pivotField name="Product" compact="0" outline="0" multipleItemSelectionAllowed="1" showAll="0">
      <items>
        <item x="0"/>
        <item x="1"/>
        <item x="2"/>
        <item x="3"/>
        <item x="4"/>
        <item t="default"/>
      </items>
    </pivotField>
    <pivotField name="Region" axis="axisPage" compact="0" outline="0" multipleItemSelectionAllowed="1" showAll="0">
      <items>
        <item x="0"/>
        <item x="1"/>
        <item x="2"/>
        <item x="3"/>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Date of Sale" axis="axisRow" compact="0" numFmtId="164"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Total Sa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s>
  <rowFields>
    <field x="7"/>
  </rowFields>
  <colFields>
    <field x="2"/>
  </colFields>
  <pageFields>
    <pageField fld="4"/>
  </pageFields>
  <dataFields>
    <dataField name="Total Sales" fld="8" baseField="0"/>
  </dataFields>
  <pivotTableStyleInfo name="Google Sheets Pivot Table Style" showRowHeaders="1" showColHeaders="1" showLastColumn="1"/>
</pivotTableDefinition>
</file>

<file path=xl/pivotTables/pivotTable8.xml><?xml version="1.0" encoding="utf-8"?>
<pivotTableDefinition xmlns="http://schemas.openxmlformats.org/spreadsheetml/2006/main" name="Solutions 8" cacheId="0" dataCaption="" compact="0" compactData="0">
  <location ref="R15:T21" firstHeaderRow="0" firstDataRow="2" firstDataCol="0" rowPageCount="1" colPageCount="1"/>
  <pivotFields>
    <pivotField name=" 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Name" compact="0" outline="0" multipleItemSelectionAllowed="1" showAll="0">
      <items>
        <item x="0"/>
        <item x="1"/>
        <item x="2"/>
        <item x="3"/>
        <item x="4"/>
        <item x="5"/>
        <item x="6"/>
        <item x="7"/>
        <item x="8"/>
        <item x="9"/>
        <item t="default"/>
      </items>
    </pivotField>
    <pivotField name="Department" compact="0" outline="0" multipleItemSelectionAllowed="1" showAll="0">
      <items>
        <item x="0"/>
        <item x="1"/>
        <item x="2"/>
        <item x="3"/>
        <item x="4"/>
        <item t="default"/>
      </items>
    </pivotField>
    <pivotField name="Product" axis="axisRow" compact="0" outline="0" multipleItemSelectionAllowed="1" showAll="0" sortType="ascending">
      <items>
        <item x="4"/>
        <item x="3"/>
        <item x="2"/>
        <item x="0"/>
        <item x="1"/>
        <item t="default"/>
      </items>
    </pivotField>
    <pivotField name="Region" axis="axisPage" compact="0" outline="0" multipleItemSelectionAllowed="1" showAll="0">
      <items>
        <item x="0"/>
        <item x="1"/>
        <item x="2"/>
        <item x="3"/>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Unit Pri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Date of Sal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Total Sa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s>
  <rowFields>
    <field x="3"/>
  </rowFields>
  <colFields>
    <field x="-2"/>
  </colFields>
  <pageFields>
    <pageField fld="4"/>
  </pageFields>
  <dataFields>
    <dataField name="Avg Unit Price" fld="6" subtotal="average" baseField="0"/>
    <dataField name="Max Unit Price" fld="6" subtotal="max" baseField="0"/>
  </dataFields>
  <pivotTableStyleInfo name="Google Sheets Pivot Table Style" showRowHeaders="1" showColHeaders="1" showLastColumn="1"/>
</pivotTableDefinition>
</file>

<file path=xl/pivotTables/pivotTable9.xml><?xml version="1.0" encoding="utf-8"?>
<pivotTableDefinition xmlns="http://schemas.openxmlformats.org/spreadsheetml/2006/main" name="Solutions 9" cacheId="0" dataCaption="" compact="0" compactData="0">
  <location ref="E30:K36" firstHeaderRow="0" firstDataRow="1" firstDataCol="1"/>
  <pivotFields>
    <pivotField name=" 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Name" compact="0" outline="0" multipleItemSelectionAllowed="1" showAll="0">
      <items>
        <item x="0"/>
        <item x="1"/>
        <item x="2"/>
        <item x="3"/>
        <item x="4"/>
        <item x="5"/>
        <item x="6"/>
        <item x="7"/>
        <item x="8"/>
        <item x="9"/>
        <item t="default"/>
      </items>
    </pivotField>
    <pivotField name="Department" compact="0" outline="0" multipleItemSelectionAllowed="1" showAll="0">
      <items>
        <item x="0"/>
        <item x="1"/>
        <item x="2"/>
        <item x="3"/>
        <item x="4"/>
        <item t="default"/>
      </items>
    </pivotField>
    <pivotField name="Product" axis="axisCol" compact="0" outline="0" multipleItemSelectionAllowed="1" showAll="0" sortType="ascending">
      <items>
        <item x="4"/>
        <item x="3"/>
        <item x="2"/>
        <item x="0"/>
        <item x="1"/>
        <item t="default"/>
      </items>
    </pivotField>
    <pivotField name="Region" axis="axisRow" compact="0" outline="0" multipleItemSelectionAllowed="1" showAll="0" sortType="ascending">
      <items>
        <item x="3"/>
        <item x="2"/>
        <item x="1"/>
        <item x="0"/>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Date of Sal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Total Sa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s>
  <rowFields>
    <field x="4"/>
  </rowFields>
  <colFields>
    <field x="3"/>
  </colFields>
  <dataFields>
    <dataField name="Total Sales" fld="8" baseField="0"/>
  </dataFields>
  <pivotTableStyleInfo name="Google Sheets Pivot Table Style" showRowHeaders="1" showColHeaders="1" showLastColumn="1"/>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5" sourceName="Region">
  <x14:extLst>
    <ext uri="{2F2917AC-EB37-4324-AD4E-5DD8C200BD13}">
      <x15:tableSlicerCache tableId="1" column="5"/>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_1" cache="SlicerCache_Table_1_Col_5" caption="Region" rowHeight="247650"/>
</x14:slicers>
</file>

<file path=xl/tables/table1.xml><?xml version="1.0" encoding="utf-8"?>
<table xmlns="http://schemas.openxmlformats.org/spreadsheetml/2006/main" ref="A1:I51" displayName="Table_1" name="Table_1" id="1">
  <autoFilter ref="$A$1:$I$51"/>
  <tableColumns count="9">
    <tableColumn name=" Employee ID" id="1"/>
    <tableColumn name="Name" id="2"/>
    <tableColumn name="Department" id="3"/>
    <tableColumn name="Product" id="4"/>
    <tableColumn name="Region" id="5"/>
    <tableColumn name="Units Sold" id="6"/>
    <tableColumn name="Unit Price" id="7"/>
    <tableColumn name="Date of Sale" id="8"/>
    <tableColumn name="Total Sale" id="9"/>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11" Type="http://schemas.microsoft.com/office/2007/relationships/slicer" Target="../slicers/slicer1.xml"/><Relationship Id="rId10" Type="http://schemas.openxmlformats.org/officeDocument/2006/relationships/drawing" Target="../drawings/drawing2.xml"/><Relationship Id="rId9" Type="http://schemas.openxmlformats.org/officeDocument/2006/relationships/pivotTable" Target="../pivotTables/pivotTable9.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pivotTable" Target="../pivotTables/pivotTable7.xml"/><Relationship Id="rId8"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row>
    <row r="2">
      <c r="A2" s="3" t="s">
        <v>9</v>
      </c>
      <c r="B2" s="3" t="s">
        <v>10</v>
      </c>
      <c r="C2" s="3" t="s">
        <v>11</v>
      </c>
      <c r="D2" s="3" t="s">
        <v>12</v>
      </c>
      <c r="E2" s="3" t="s">
        <v>13</v>
      </c>
      <c r="F2" s="4">
        <v>52.0</v>
      </c>
      <c r="G2" s="4">
        <v>3890.0</v>
      </c>
      <c r="H2" s="5">
        <v>44927.0</v>
      </c>
      <c r="I2" s="4">
        <v>202280.0</v>
      </c>
      <c r="J2" s="2"/>
      <c r="K2" s="2"/>
      <c r="L2" s="2"/>
      <c r="M2" s="2"/>
      <c r="N2" s="2"/>
      <c r="O2" s="2"/>
      <c r="P2" s="2"/>
      <c r="Q2" s="2"/>
      <c r="R2" s="2"/>
      <c r="S2" s="2"/>
      <c r="T2" s="2"/>
      <c r="U2" s="2"/>
      <c r="V2" s="2"/>
      <c r="W2" s="2"/>
      <c r="X2" s="2"/>
      <c r="Y2" s="2"/>
      <c r="Z2" s="2"/>
    </row>
    <row r="3">
      <c r="A3" s="3" t="s">
        <v>14</v>
      </c>
      <c r="B3" s="3" t="s">
        <v>10</v>
      </c>
      <c r="C3" s="3" t="s">
        <v>11</v>
      </c>
      <c r="D3" s="3" t="s">
        <v>15</v>
      </c>
      <c r="E3" s="3" t="s">
        <v>16</v>
      </c>
      <c r="F3" s="4">
        <v>20.0</v>
      </c>
      <c r="G3" s="4">
        <v>1050.0</v>
      </c>
      <c r="H3" s="5">
        <v>44928.0</v>
      </c>
      <c r="I3" s="4">
        <v>21000.0</v>
      </c>
      <c r="J3" s="2"/>
      <c r="K3" s="2"/>
      <c r="L3" s="2"/>
      <c r="M3" s="2"/>
      <c r="N3" s="2"/>
      <c r="O3" s="2"/>
      <c r="P3" s="2"/>
      <c r="Q3" s="2"/>
      <c r="R3" s="2"/>
      <c r="S3" s="2"/>
      <c r="T3" s="2"/>
      <c r="U3" s="2"/>
      <c r="V3" s="2"/>
      <c r="W3" s="2"/>
      <c r="X3" s="2"/>
      <c r="Y3" s="2"/>
      <c r="Z3" s="2"/>
    </row>
    <row r="4">
      <c r="A4" s="3" t="s">
        <v>17</v>
      </c>
      <c r="B4" s="3" t="s">
        <v>18</v>
      </c>
      <c r="C4" s="3" t="s">
        <v>19</v>
      </c>
      <c r="D4" s="3" t="s">
        <v>12</v>
      </c>
      <c r="E4" s="3" t="s">
        <v>16</v>
      </c>
      <c r="F4" s="4">
        <v>74.0</v>
      </c>
      <c r="G4" s="4">
        <v>1334.0</v>
      </c>
      <c r="H4" s="5">
        <v>44929.0</v>
      </c>
      <c r="I4" s="4">
        <v>98716.0</v>
      </c>
      <c r="J4" s="2"/>
      <c r="K4" s="2"/>
      <c r="L4" s="2"/>
      <c r="M4" s="2"/>
      <c r="N4" s="2"/>
      <c r="O4" s="2"/>
      <c r="P4" s="2"/>
      <c r="Q4" s="2"/>
      <c r="R4" s="2"/>
      <c r="S4" s="2"/>
      <c r="T4" s="2"/>
      <c r="U4" s="2"/>
      <c r="V4" s="2"/>
      <c r="W4" s="2"/>
      <c r="X4" s="2"/>
      <c r="Y4" s="2"/>
      <c r="Z4" s="2"/>
    </row>
    <row r="5">
      <c r="A5" s="3" t="s">
        <v>20</v>
      </c>
      <c r="B5" s="3" t="s">
        <v>21</v>
      </c>
      <c r="C5" s="3" t="s">
        <v>11</v>
      </c>
      <c r="D5" s="3" t="s">
        <v>12</v>
      </c>
      <c r="E5" s="3" t="s">
        <v>22</v>
      </c>
      <c r="F5" s="4">
        <v>12.0</v>
      </c>
      <c r="G5" s="4">
        <v>2991.0</v>
      </c>
      <c r="H5" s="5">
        <v>44930.0</v>
      </c>
      <c r="I5" s="4">
        <v>35892.0</v>
      </c>
      <c r="J5" s="2"/>
      <c r="K5" s="2"/>
      <c r="L5" s="2"/>
      <c r="M5" s="2"/>
      <c r="N5" s="2"/>
      <c r="O5" s="2"/>
      <c r="P5" s="2"/>
      <c r="Q5" s="2"/>
      <c r="R5" s="2"/>
      <c r="S5" s="2"/>
      <c r="T5" s="2"/>
      <c r="U5" s="2"/>
      <c r="V5" s="2"/>
      <c r="W5" s="2"/>
      <c r="X5" s="2"/>
      <c r="Y5" s="2"/>
      <c r="Z5" s="2"/>
    </row>
    <row r="6">
      <c r="A6" s="3" t="s">
        <v>23</v>
      </c>
      <c r="B6" s="3" t="s">
        <v>18</v>
      </c>
      <c r="C6" s="3" t="s">
        <v>19</v>
      </c>
      <c r="D6" s="3" t="s">
        <v>24</v>
      </c>
      <c r="E6" s="3" t="s">
        <v>22</v>
      </c>
      <c r="F6" s="4">
        <v>24.0</v>
      </c>
      <c r="G6" s="4">
        <v>1326.0</v>
      </c>
      <c r="H6" s="5">
        <v>44931.0</v>
      </c>
      <c r="I6" s="4">
        <v>31824.0</v>
      </c>
      <c r="J6" s="2"/>
      <c r="K6" s="2"/>
      <c r="L6" s="2"/>
      <c r="M6" s="2"/>
      <c r="N6" s="2"/>
      <c r="O6" s="2"/>
      <c r="P6" s="2"/>
      <c r="Q6" s="2"/>
      <c r="R6" s="2"/>
      <c r="S6" s="2"/>
      <c r="T6" s="2"/>
      <c r="U6" s="2"/>
      <c r="V6" s="2"/>
      <c r="W6" s="2"/>
      <c r="X6" s="2"/>
      <c r="Y6" s="2"/>
      <c r="Z6" s="2"/>
    </row>
    <row r="7">
      <c r="A7" s="3" t="s">
        <v>25</v>
      </c>
      <c r="B7" s="3" t="s">
        <v>26</v>
      </c>
      <c r="C7" s="3" t="s">
        <v>27</v>
      </c>
      <c r="D7" s="3" t="s">
        <v>28</v>
      </c>
      <c r="E7" s="3" t="s">
        <v>22</v>
      </c>
      <c r="F7" s="4">
        <v>26.0</v>
      </c>
      <c r="G7" s="4">
        <v>2871.0</v>
      </c>
      <c r="H7" s="5">
        <v>44932.0</v>
      </c>
      <c r="I7" s="4">
        <v>74646.0</v>
      </c>
      <c r="J7" s="2"/>
      <c r="K7" s="2"/>
      <c r="L7" s="2"/>
      <c r="M7" s="2"/>
      <c r="N7" s="2"/>
      <c r="O7" s="2"/>
      <c r="P7" s="2"/>
      <c r="Q7" s="2"/>
      <c r="R7" s="2"/>
      <c r="S7" s="2"/>
      <c r="T7" s="2"/>
      <c r="U7" s="2"/>
      <c r="V7" s="2"/>
      <c r="W7" s="2"/>
      <c r="X7" s="2"/>
      <c r="Y7" s="2"/>
      <c r="Z7" s="2"/>
    </row>
    <row r="8">
      <c r="A8" s="3" t="s">
        <v>29</v>
      </c>
      <c r="B8" s="3" t="s">
        <v>26</v>
      </c>
      <c r="C8" s="3" t="s">
        <v>27</v>
      </c>
      <c r="D8" s="3" t="s">
        <v>15</v>
      </c>
      <c r="E8" s="3" t="s">
        <v>13</v>
      </c>
      <c r="F8" s="4">
        <v>39.0</v>
      </c>
      <c r="G8" s="4">
        <v>4625.0</v>
      </c>
      <c r="H8" s="5">
        <v>44933.0</v>
      </c>
      <c r="I8" s="4">
        <v>180375.0</v>
      </c>
      <c r="J8" s="2"/>
      <c r="K8" s="2"/>
      <c r="L8" s="2"/>
      <c r="M8" s="2"/>
      <c r="N8" s="2"/>
      <c r="O8" s="2"/>
      <c r="P8" s="2"/>
      <c r="Q8" s="2"/>
      <c r="R8" s="2"/>
      <c r="S8" s="2"/>
      <c r="T8" s="2"/>
      <c r="U8" s="2"/>
      <c r="V8" s="2"/>
      <c r="W8" s="2"/>
      <c r="X8" s="2"/>
      <c r="Y8" s="2"/>
      <c r="Z8" s="2"/>
    </row>
    <row r="9">
      <c r="A9" s="3" t="s">
        <v>30</v>
      </c>
      <c r="B9" s="3" t="s">
        <v>18</v>
      </c>
      <c r="C9" s="3" t="s">
        <v>11</v>
      </c>
      <c r="D9" s="3" t="s">
        <v>15</v>
      </c>
      <c r="E9" s="3" t="s">
        <v>13</v>
      </c>
      <c r="F9" s="4">
        <v>36.0</v>
      </c>
      <c r="G9" s="4">
        <v>2257.0</v>
      </c>
      <c r="H9" s="5">
        <v>44934.0</v>
      </c>
      <c r="I9" s="4">
        <v>81252.0</v>
      </c>
      <c r="J9" s="2"/>
      <c r="K9" s="2"/>
      <c r="L9" s="2"/>
      <c r="M9" s="2"/>
      <c r="N9" s="2"/>
      <c r="O9" s="2"/>
      <c r="P9" s="2"/>
      <c r="Q9" s="2"/>
      <c r="R9" s="2"/>
      <c r="S9" s="2"/>
      <c r="T9" s="2"/>
      <c r="U9" s="2"/>
      <c r="V9" s="2"/>
      <c r="W9" s="2"/>
      <c r="X9" s="2"/>
      <c r="Y9" s="2"/>
      <c r="Z9" s="2"/>
    </row>
    <row r="10">
      <c r="A10" s="3" t="s">
        <v>31</v>
      </c>
      <c r="B10" s="3" t="s">
        <v>32</v>
      </c>
      <c r="C10" s="3" t="s">
        <v>27</v>
      </c>
      <c r="D10" s="3" t="s">
        <v>24</v>
      </c>
      <c r="E10" s="3" t="s">
        <v>33</v>
      </c>
      <c r="F10" s="4">
        <v>88.0</v>
      </c>
      <c r="G10" s="4">
        <v>3168.0</v>
      </c>
      <c r="H10" s="5">
        <v>44935.0</v>
      </c>
      <c r="I10" s="4">
        <v>278784.0</v>
      </c>
      <c r="J10" s="2"/>
      <c r="K10" s="2"/>
      <c r="L10" s="2"/>
      <c r="M10" s="2"/>
      <c r="N10" s="2"/>
      <c r="O10" s="2"/>
      <c r="P10" s="2"/>
      <c r="Q10" s="2"/>
      <c r="R10" s="2"/>
      <c r="S10" s="2"/>
      <c r="T10" s="2"/>
      <c r="U10" s="2"/>
      <c r="V10" s="2"/>
      <c r="W10" s="2"/>
      <c r="X10" s="2"/>
      <c r="Y10" s="2"/>
      <c r="Z10" s="2"/>
    </row>
    <row r="11">
      <c r="A11" s="3" t="s">
        <v>34</v>
      </c>
      <c r="B11" s="3" t="s">
        <v>32</v>
      </c>
      <c r="C11" s="3" t="s">
        <v>35</v>
      </c>
      <c r="D11" s="3" t="s">
        <v>15</v>
      </c>
      <c r="E11" s="3" t="s">
        <v>22</v>
      </c>
      <c r="F11" s="4">
        <v>95.0</v>
      </c>
      <c r="G11" s="4">
        <v>2360.0</v>
      </c>
      <c r="H11" s="5">
        <v>44936.0</v>
      </c>
      <c r="I11" s="4">
        <v>224200.0</v>
      </c>
      <c r="J11" s="2"/>
      <c r="K11" s="2"/>
      <c r="L11" s="2"/>
      <c r="M11" s="2"/>
      <c r="N11" s="2"/>
      <c r="O11" s="2"/>
      <c r="P11" s="2"/>
      <c r="Q11" s="2"/>
      <c r="R11" s="2"/>
      <c r="S11" s="2"/>
      <c r="T11" s="2"/>
      <c r="U11" s="2"/>
      <c r="V11" s="2"/>
      <c r="W11" s="2"/>
      <c r="X11" s="2"/>
      <c r="Y11" s="2"/>
      <c r="Z11" s="2"/>
    </row>
    <row r="12">
      <c r="A12" s="3" t="s">
        <v>36</v>
      </c>
      <c r="B12" s="3" t="s">
        <v>37</v>
      </c>
      <c r="C12" s="3" t="s">
        <v>38</v>
      </c>
      <c r="D12" s="3" t="s">
        <v>12</v>
      </c>
      <c r="E12" s="3" t="s">
        <v>22</v>
      </c>
      <c r="F12" s="4">
        <v>16.0</v>
      </c>
      <c r="G12" s="4">
        <v>4264.0</v>
      </c>
      <c r="H12" s="5">
        <v>44937.0</v>
      </c>
      <c r="I12" s="4">
        <v>68224.0</v>
      </c>
      <c r="J12" s="2"/>
      <c r="K12" s="2"/>
      <c r="L12" s="2"/>
      <c r="M12" s="2"/>
      <c r="N12" s="2"/>
      <c r="O12" s="2"/>
      <c r="P12" s="2"/>
      <c r="Q12" s="2"/>
      <c r="R12" s="2"/>
      <c r="S12" s="2"/>
      <c r="T12" s="2"/>
      <c r="U12" s="2"/>
      <c r="V12" s="2"/>
      <c r="W12" s="2"/>
      <c r="X12" s="2"/>
      <c r="Y12" s="2"/>
      <c r="Z12" s="2"/>
    </row>
    <row r="13">
      <c r="A13" s="3" t="s">
        <v>39</v>
      </c>
      <c r="B13" s="3" t="s">
        <v>18</v>
      </c>
      <c r="C13" s="3" t="s">
        <v>27</v>
      </c>
      <c r="D13" s="3" t="s">
        <v>28</v>
      </c>
      <c r="E13" s="3" t="s">
        <v>22</v>
      </c>
      <c r="F13" s="4">
        <v>11.0</v>
      </c>
      <c r="G13" s="4">
        <v>4003.0</v>
      </c>
      <c r="H13" s="5">
        <v>44938.0</v>
      </c>
      <c r="I13" s="4">
        <v>44033.0</v>
      </c>
      <c r="J13" s="2"/>
      <c r="K13" s="2"/>
      <c r="L13" s="2"/>
      <c r="M13" s="2"/>
      <c r="N13" s="2"/>
      <c r="O13" s="2"/>
      <c r="P13" s="2"/>
      <c r="Q13" s="2"/>
      <c r="R13" s="2"/>
      <c r="S13" s="2"/>
      <c r="T13" s="2"/>
      <c r="U13" s="2"/>
      <c r="V13" s="2"/>
      <c r="W13" s="2"/>
      <c r="X13" s="2"/>
      <c r="Y13" s="2"/>
      <c r="Z13" s="2"/>
    </row>
    <row r="14">
      <c r="A14" s="3" t="s">
        <v>40</v>
      </c>
      <c r="B14" s="3" t="s">
        <v>41</v>
      </c>
      <c r="C14" s="3" t="s">
        <v>38</v>
      </c>
      <c r="D14" s="3" t="s">
        <v>28</v>
      </c>
      <c r="E14" s="3" t="s">
        <v>16</v>
      </c>
      <c r="F14" s="4">
        <v>28.0</v>
      </c>
      <c r="G14" s="4">
        <v>4411.0</v>
      </c>
      <c r="H14" s="5">
        <v>44939.0</v>
      </c>
      <c r="I14" s="4">
        <v>123508.0</v>
      </c>
      <c r="J14" s="2"/>
      <c r="K14" s="2"/>
      <c r="L14" s="2"/>
      <c r="M14" s="2"/>
      <c r="N14" s="2"/>
      <c r="O14" s="2"/>
      <c r="P14" s="2"/>
      <c r="Q14" s="2"/>
      <c r="R14" s="2"/>
      <c r="S14" s="2"/>
      <c r="T14" s="2"/>
      <c r="U14" s="2"/>
      <c r="V14" s="2"/>
      <c r="W14" s="2"/>
      <c r="X14" s="2"/>
      <c r="Y14" s="2"/>
      <c r="Z14" s="2"/>
    </row>
    <row r="15">
      <c r="A15" s="3" t="s">
        <v>42</v>
      </c>
      <c r="B15" s="3" t="s">
        <v>43</v>
      </c>
      <c r="C15" s="3" t="s">
        <v>27</v>
      </c>
      <c r="D15" s="3" t="s">
        <v>24</v>
      </c>
      <c r="E15" s="3" t="s">
        <v>33</v>
      </c>
      <c r="F15" s="4">
        <v>76.0</v>
      </c>
      <c r="G15" s="4">
        <v>4104.0</v>
      </c>
      <c r="H15" s="5">
        <v>44940.0</v>
      </c>
      <c r="I15" s="4">
        <v>311904.0</v>
      </c>
      <c r="J15" s="2"/>
      <c r="K15" s="2"/>
      <c r="L15" s="2"/>
      <c r="M15" s="2"/>
      <c r="N15" s="2"/>
      <c r="O15" s="2"/>
      <c r="P15" s="2"/>
      <c r="Q15" s="2"/>
      <c r="R15" s="2"/>
      <c r="S15" s="2"/>
      <c r="T15" s="2"/>
      <c r="U15" s="2"/>
      <c r="V15" s="2"/>
      <c r="W15" s="2"/>
      <c r="X15" s="2"/>
      <c r="Y15" s="2"/>
      <c r="Z15" s="2"/>
    </row>
    <row r="16">
      <c r="A16" s="3" t="s">
        <v>44</v>
      </c>
      <c r="B16" s="3" t="s">
        <v>21</v>
      </c>
      <c r="C16" s="3" t="s">
        <v>11</v>
      </c>
      <c r="D16" s="3" t="s">
        <v>24</v>
      </c>
      <c r="E16" s="3" t="s">
        <v>33</v>
      </c>
      <c r="F16" s="4">
        <v>74.0</v>
      </c>
      <c r="G16" s="4">
        <v>3342.0</v>
      </c>
      <c r="H16" s="5">
        <v>44941.0</v>
      </c>
      <c r="I16" s="4">
        <v>247308.0</v>
      </c>
      <c r="J16" s="2"/>
      <c r="K16" s="2"/>
      <c r="L16" s="2"/>
      <c r="M16" s="2"/>
      <c r="N16" s="2"/>
      <c r="O16" s="2"/>
      <c r="P16" s="2"/>
      <c r="Q16" s="2"/>
      <c r="R16" s="2"/>
      <c r="S16" s="2"/>
      <c r="T16" s="2"/>
      <c r="U16" s="2"/>
      <c r="V16" s="2"/>
      <c r="W16" s="2"/>
      <c r="X16" s="2"/>
      <c r="Y16" s="2"/>
      <c r="Z16" s="2"/>
    </row>
    <row r="17">
      <c r="A17" s="3" t="s">
        <v>45</v>
      </c>
      <c r="B17" s="3" t="s">
        <v>21</v>
      </c>
      <c r="C17" s="3" t="s">
        <v>11</v>
      </c>
      <c r="D17" s="3" t="s">
        <v>24</v>
      </c>
      <c r="E17" s="3" t="s">
        <v>22</v>
      </c>
      <c r="F17" s="4">
        <v>47.0</v>
      </c>
      <c r="G17" s="4">
        <v>1647.0</v>
      </c>
      <c r="H17" s="5">
        <v>44942.0</v>
      </c>
      <c r="I17" s="4">
        <v>77409.0</v>
      </c>
      <c r="J17" s="2"/>
      <c r="K17" s="2"/>
      <c r="L17" s="2"/>
      <c r="M17" s="2"/>
      <c r="N17" s="2"/>
      <c r="O17" s="2"/>
      <c r="P17" s="2"/>
      <c r="Q17" s="2"/>
      <c r="R17" s="2"/>
      <c r="S17" s="2"/>
      <c r="T17" s="2"/>
      <c r="U17" s="2"/>
      <c r="V17" s="2"/>
      <c r="W17" s="2"/>
      <c r="X17" s="2"/>
      <c r="Y17" s="2"/>
      <c r="Z17" s="2"/>
    </row>
    <row r="18">
      <c r="A18" s="3" t="s">
        <v>46</v>
      </c>
      <c r="B18" s="3" t="s">
        <v>32</v>
      </c>
      <c r="C18" s="3" t="s">
        <v>35</v>
      </c>
      <c r="D18" s="3" t="s">
        <v>24</v>
      </c>
      <c r="E18" s="3" t="s">
        <v>22</v>
      </c>
      <c r="F18" s="4">
        <v>60.0</v>
      </c>
      <c r="G18" s="4">
        <v>2045.0</v>
      </c>
      <c r="H18" s="5">
        <v>44943.0</v>
      </c>
      <c r="I18" s="4">
        <v>122700.0</v>
      </c>
      <c r="J18" s="2"/>
      <c r="K18" s="2"/>
      <c r="L18" s="2"/>
      <c r="M18" s="2"/>
      <c r="N18" s="2"/>
      <c r="O18" s="2"/>
      <c r="P18" s="2"/>
      <c r="Q18" s="2"/>
      <c r="R18" s="2"/>
      <c r="S18" s="2"/>
      <c r="T18" s="2"/>
      <c r="U18" s="2"/>
      <c r="V18" s="2"/>
      <c r="W18" s="2"/>
      <c r="X18" s="2"/>
      <c r="Y18" s="2"/>
      <c r="Z18" s="2"/>
    </row>
    <row r="19">
      <c r="A19" s="3" t="s">
        <v>47</v>
      </c>
      <c r="B19" s="3" t="s">
        <v>10</v>
      </c>
      <c r="C19" s="3" t="s">
        <v>38</v>
      </c>
      <c r="D19" s="3" t="s">
        <v>24</v>
      </c>
      <c r="E19" s="3" t="s">
        <v>16</v>
      </c>
      <c r="F19" s="4">
        <v>62.0</v>
      </c>
      <c r="G19" s="4">
        <v>3073.0</v>
      </c>
      <c r="H19" s="5">
        <v>44944.0</v>
      </c>
      <c r="I19" s="4">
        <v>190526.0</v>
      </c>
      <c r="J19" s="2"/>
      <c r="K19" s="2"/>
      <c r="L19" s="2"/>
      <c r="M19" s="2"/>
      <c r="N19" s="2"/>
      <c r="O19" s="2"/>
      <c r="P19" s="2"/>
      <c r="Q19" s="2"/>
      <c r="R19" s="2"/>
      <c r="S19" s="2"/>
      <c r="T19" s="2"/>
      <c r="U19" s="2"/>
      <c r="V19" s="2"/>
      <c r="W19" s="2"/>
      <c r="X19" s="2"/>
      <c r="Y19" s="2"/>
      <c r="Z19" s="2"/>
    </row>
    <row r="20">
      <c r="A20" s="3" t="s">
        <v>48</v>
      </c>
      <c r="B20" s="3" t="s">
        <v>18</v>
      </c>
      <c r="C20" s="3" t="s">
        <v>38</v>
      </c>
      <c r="D20" s="3" t="s">
        <v>15</v>
      </c>
      <c r="E20" s="3" t="s">
        <v>33</v>
      </c>
      <c r="F20" s="4">
        <v>57.0</v>
      </c>
      <c r="G20" s="4">
        <v>2641.0</v>
      </c>
      <c r="H20" s="5">
        <v>44945.0</v>
      </c>
      <c r="I20" s="4">
        <v>150537.0</v>
      </c>
      <c r="J20" s="2"/>
      <c r="K20" s="2"/>
      <c r="L20" s="2"/>
      <c r="M20" s="2"/>
      <c r="N20" s="2"/>
      <c r="O20" s="2"/>
      <c r="P20" s="2"/>
      <c r="Q20" s="2"/>
      <c r="R20" s="2"/>
      <c r="S20" s="2"/>
      <c r="T20" s="2"/>
      <c r="U20" s="2"/>
      <c r="V20" s="2"/>
      <c r="W20" s="2"/>
      <c r="X20" s="2"/>
      <c r="Y20" s="2"/>
      <c r="Z20" s="2"/>
    </row>
    <row r="21">
      <c r="A21" s="3" t="s">
        <v>49</v>
      </c>
      <c r="B21" s="3" t="s">
        <v>18</v>
      </c>
      <c r="C21" s="3" t="s">
        <v>38</v>
      </c>
      <c r="D21" s="3" t="s">
        <v>24</v>
      </c>
      <c r="E21" s="3" t="s">
        <v>16</v>
      </c>
      <c r="F21" s="4">
        <v>32.0</v>
      </c>
      <c r="G21" s="4">
        <v>1582.0</v>
      </c>
      <c r="H21" s="5">
        <v>44946.0</v>
      </c>
      <c r="I21" s="4">
        <v>50624.0</v>
      </c>
      <c r="J21" s="2"/>
      <c r="K21" s="2"/>
      <c r="L21" s="2"/>
      <c r="M21" s="2"/>
      <c r="N21" s="2"/>
      <c r="O21" s="2"/>
      <c r="P21" s="2"/>
      <c r="Q21" s="2"/>
      <c r="R21" s="2"/>
      <c r="S21" s="2"/>
      <c r="T21" s="2"/>
      <c r="U21" s="2"/>
      <c r="V21" s="2"/>
      <c r="W21" s="2"/>
      <c r="X21" s="2"/>
      <c r="Y21" s="2"/>
      <c r="Z21" s="2"/>
    </row>
    <row r="22">
      <c r="A22" s="3" t="s">
        <v>50</v>
      </c>
      <c r="B22" s="3" t="s">
        <v>51</v>
      </c>
      <c r="C22" s="3" t="s">
        <v>11</v>
      </c>
      <c r="D22" s="3" t="s">
        <v>15</v>
      </c>
      <c r="E22" s="3" t="s">
        <v>13</v>
      </c>
      <c r="F22" s="4">
        <v>64.0</v>
      </c>
      <c r="G22" s="4">
        <v>3773.0</v>
      </c>
      <c r="H22" s="5">
        <v>44947.0</v>
      </c>
      <c r="I22" s="4">
        <v>241472.0</v>
      </c>
      <c r="J22" s="2"/>
      <c r="K22" s="2"/>
      <c r="L22" s="2"/>
      <c r="M22" s="2"/>
      <c r="N22" s="2"/>
      <c r="O22" s="2"/>
      <c r="P22" s="2"/>
      <c r="Q22" s="2"/>
      <c r="R22" s="2"/>
      <c r="S22" s="2"/>
      <c r="T22" s="2"/>
      <c r="U22" s="2"/>
      <c r="V22" s="2"/>
      <c r="W22" s="2"/>
      <c r="X22" s="2"/>
      <c r="Y22" s="2"/>
      <c r="Z22" s="2"/>
    </row>
    <row r="23">
      <c r="A23" s="3" t="s">
        <v>52</v>
      </c>
      <c r="B23" s="3" t="s">
        <v>41</v>
      </c>
      <c r="C23" s="3" t="s">
        <v>38</v>
      </c>
      <c r="D23" s="3" t="s">
        <v>15</v>
      </c>
      <c r="E23" s="3" t="s">
        <v>22</v>
      </c>
      <c r="F23" s="4">
        <v>25.0</v>
      </c>
      <c r="G23" s="4">
        <v>2213.0</v>
      </c>
      <c r="H23" s="5">
        <v>44948.0</v>
      </c>
      <c r="I23" s="4">
        <v>55325.0</v>
      </c>
      <c r="J23" s="2"/>
      <c r="K23" s="2"/>
      <c r="L23" s="2"/>
      <c r="M23" s="2"/>
      <c r="N23" s="2"/>
      <c r="O23" s="2"/>
      <c r="P23" s="2"/>
      <c r="Q23" s="2"/>
      <c r="R23" s="2"/>
      <c r="S23" s="2"/>
      <c r="T23" s="2"/>
      <c r="U23" s="2"/>
      <c r="V23" s="2"/>
      <c r="W23" s="2"/>
      <c r="X23" s="2"/>
      <c r="Y23" s="2"/>
      <c r="Z23" s="2"/>
    </row>
    <row r="24">
      <c r="A24" s="3" t="s">
        <v>53</v>
      </c>
      <c r="B24" s="3" t="s">
        <v>18</v>
      </c>
      <c r="C24" s="3" t="s">
        <v>11</v>
      </c>
      <c r="D24" s="3" t="s">
        <v>12</v>
      </c>
      <c r="E24" s="3" t="s">
        <v>22</v>
      </c>
      <c r="F24" s="4">
        <v>43.0</v>
      </c>
      <c r="G24" s="4">
        <v>1518.0</v>
      </c>
      <c r="H24" s="5">
        <v>44949.0</v>
      </c>
      <c r="I24" s="4">
        <v>65274.0</v>
      </c>
      <c r="J24" s="2"/>
      <c r="K24" s="2"/>
      <c r="L24" s="2"/>
      <c r="M24" s="2"/>
      <c r="N24" s="2"/>
      <c r="O24" s="2"/>
      <c r="P24" s="2"/>
      <c r="Q24" s="2"/>
      <c r="R24" s="2"/>
      <c r="S24" s="2"/>
      <c r="T24" s="2"/>
      <c r="U24" s="2"/>
      <c r="V24" s="2"/>
      <c r="W24" s="2"/>
      <c r="X24" s="2"/>
      <c r="Y24" s="2"/>
      <c r="Z24" s="2"/>
    </row>
    <row r="25">
      <c r="A25" s="3" t="s">
        <v>54</v>
      </c>
      <c r="B25" s="3" t="s">
        <v>43</v>
      </c>
      <c r="C25" s="3" t="s">
        <v>38</v>
      </c>
      <c r="D25" s="3" t="s">
        <v>24</v>
      </c>
      <c r="E25" s="3" t="s">
        <v>16</v>
      </c>
      <c r="F25" s="4">
        <v>18.0</v>
      </c>
      <c r="G25" s="4">
        <v>1042.0</v>
      </c>
      <c r="H25" s="5">
        <v>44950.0</v>
      </c>
      <c r="I25" s="4">
        <v>18756.0</v>
      </c>
      <c r="J25" s="2"/>
      <c r="K25" s="2"/>
      <c r="L25" s="2"/>
      <c r="M25" s="2"/>
      <c r="N25" s="2"/>
      <c r="O25" s="2"/>
      <c r="P25" s="2"/>
      <c r="Q25" s="2"/>
      <c r="R25" s="2"/>
      <c r="S25" s="2"/>
      <c r="T25" s="2"/>
      <c r="U25" s="2"/>
      <c r="V25" s="2"/>
      <c r="W25" s="2"/>
      <c r="X25" s="2"/>
      <c r="Y25" s="2"/>
      <c r="Z25" s="2"/>
    </row>
    <row r="26">
      <c r="A26" s="3" t="s">
        <v>55</v>
      </c>
      <c r="B26" s="3" t="s">
        <v>51</v>
      </c>
      <c r="C26" s="3" t="s">
        <v>19</v>
      </c>
      <c r="D26" s="3" t="s">
        <v>24</v>
      </c>
      <c r="E26" s="3" t="s">
        <v>33</v>
      </c>
      <c r="F26" s="4">
        <v>2.0</v>
      </c>
      <c r="G26" s="4">
        <v>2178.0</v>
      </c>
      <c r="H26" s="5">
        <v>44951.0</v>
      </c>
      <c r="I26" s="4">
        <v>4356.0</v>
      </c>
      <c r="J26" s="2"/>
      <c r="K26" s="2"/>
      <c r="L26" s="2"/>
      <c r="M26" s="2"/>
      <c r="N26" s="2"/>
      <c r="O26" s="2"/>
      <c r="P26" s="2"/>
      <c r="Q26" s="2"/>
      <c r="R26" s="2"/>
      <c r="S26" s="2"/>
      <c r="T26" s="2"/>
      <c r="U26" s="2"/>
      <c r="V26" s="2"/>
      <c r="W26" s="2"/>
      <c r="X26" s="2"/>
      <c r="Y26" s="2"/>
      <c r="Z26" s="2"/>
    </row>
    <row r="27">
      <c r="A27" s="3" t="s">
        <v>56</v>
      </c>
      <c r="B27" s="3" t="s">
        <v>57</v>
      </c>
      <c r="C27" s="3" t="s">
        <v>27</v>
      </c>
      <c r="D27" s="3" t="s">
        <v>12</v>
      </c>
      <c r="E27" s="3" t="s">
        <v>33</v>
      </c>
      <c r="F27" s="4">
        <v>84.0</v>
      </c>
      <c r="G27" s="4">
        <v>4439.0</v>
      </c>
      <c r="H27" s="5">
        <v>44952.0</v>
      </c>
      <c r="I27" s="4">
        <v>372876.0</v>
      </c>
      <c r="J27" s="2"/>
      <c r="K27" s="2"/>
      <c r="L27" s="2"/>
      <c r="M27" s="2"/>
      <c r="N27" s="2"/>
      <c r="O27" s="2"/>
      <c r="P27" s="2"/>
      <c r="Q27" s="2"/>
      <c r="R27" s="2"/>
      <c r="S27" s="2"/>
      <c r="T27" s="2"/>
      <c r="U27" s="2"/>
      <c r="V27" s="2"/>
      <c r="W27" s="2"/>
      <c r="X27" s="2"/>
      <c r="Y27" s="2"/>
      <c r="Z27" s="2"/>
    </row>
    <row r="28">
      <c r="A28" s="3" t="s">
        <v>58</v>
      </c>
      <c r="B28" s="3" t="s">
        <v>18</v>
      </c>
      <c r="C28" s="3" t="s">
        <v>11</v>
      </c>
      <c r="D28" s="3" t="s">
        <v>24</v>
      </c>
      <c r="E28" s="3" t="s">
        <v>22</v>
      </c>
      <c r="F28" s="4">
        <v>12.0</v>
      </c>
      <c r="G28" s="4">
        <v>1148.0</v>
      </c>
      <c r="H28" s="5">
        <v>44953.0</v>
      </c>
      <c r="I28" s="4">
        <v>13776.0</v>
      </c>
      <c r="J28" s="2"/>
      <c r="K28" s="2"/>
      <c r="L28" s="2"/>
      <c r="M28" s="2"/>
      <c r="N28" s="2"/>
      <c r="O28" s="2"/>
      <c r="P28" s="2"/>
      <c r="Q28" s="2"/>
      <c r="R28" s="2"/>
      <c r="S28" s="2"/>
      <c r="T28" s="2"/>
      <c r="U28" s="2"/>
      <c r="V28" s="2"/>
      <c r="W28" s="2"/>
      <c r="X28" s="2"/>
      <c r="Y28" s="2"/>
      <c r="Z28" s="2"/>
    </row>
    <row r="29">
      <c r="A29" s="3" t="s">
        <v>59</v>
      </c>
      <c r="B29" s="3" t="s">
        <v>51</v>
      </c>
      <c r="C29" s="3" t="s">
        <v>11</v>
      </c>
      <c r="D29" s="3" t="s">
        <v>15</v>
      </c>
      <c r="E29" s="3" t="s">
        <v>33</v>
      </c>
      <c r="F29" s="4">
        <v>65.0</v>
      </c>
      <c r="G29" s="4">
        <v>4067.0</v>
      </c>
      <c r="H29" s="5">
        <v>44954.0</v>
      </c>
      <c r="I29" s="4">
        <v>264355.0</v>
      </c>
      <c r="J29" s="2"/>
      <c r="K29" s="2"/>
      <c r="L29" s="2"/>
      <c r="M29" s="2"/>
      <c r="N29" s="2"/>
      <c r="O29" s="2"/>
      <c r="P29" s="2"/>
      <c r="Q29" s="2"/>
      <c r="R29" s="2"/>
      <c r="S29" s="2"/>
      <c r="T29" s="2"/>
      <c r="U29" s="2"/>
      <c r="V29" s="2"/>
      <c r="W29" s="2"/>
      <c r="X29" s="2"/>
      <c r="Y29" s="2"/>
      <c r="Z29" s="2"/>
    </row>
    <row r="30">
      <c r="A30" s="3" t="s">
        <v>60</v>
      </c>
      <c r="B30" s="3" t="s">
        <v>41</v>
      </c>
      <c r="C30" s="3" t="s">
        <v>27</v>
      </c>
      <c r="D30" s="3" t="s">
        <v>28</v>
      </c>
      <c r="E30" s="3" t="s">
        <v>33</v>
      </c>
      <c r="F30" s="4">
        <v>30.0</v>
      </c>
      <c r="G30" s="4">
        <v>3294.0</v>
      </c>
      <c r="H30" s="5">
        <v>44955.0</v>
      </c>
      <c r="I30" s="4">
        <v>98820.0</v>
      </c>
      <c r="J30" s="2"/>
      <c r="K30" s="2"/>
      <c r="L30" s="2"/>
      <c r="M30" s="2"/>
      <c r="N30" s="2"/>
      <c r="O30" s="2"/>
      <c r="P30" s="2"/>
      <c r="Q30" s="2"/>
      <c r="R30" s="2"/>
      <c r="S30" s="2"/>
      <c r="T30" s="2"/>
      <c r="U30" s="2"/>
      <c r="V30" s="2"/>
      <c r="W30" s="2"/>
      <c r="X30" s="2"/>
      <c r="Y30" s="2"/>
      <c r="Z30" s="2"/>
    </row>
    <row r="31">
      <c r="A31" s="3" t="s">
        <v>61</v>
      </c>
      <c r="B31" s="3" t="s">
        <v>43</v>
      </c>
      <c r="C31" s="3" t="s">
        <v>27</v>
      </c>
      <c r="D31" s="3" t="s">
        <v>28</v>
      </c>
      <c r="E31" s="3" t="s">
        <v>33</v>
      </c>
      <c r="F31" s="4">
        <v>70.0</v>
      </c>
      <c r="G31" s="4">
        <v>2269.0</v>
      </c>
      <c r="H31" s="5">
        <v>44956.0</v>
      </c>
      <c r="I31" s="4">
        <v>158830.0</v>
      </c>
      <c r="J31" s="2"/>
      <c r="K31" s="2"/>
      <c r="L31" s="2"/>
      <c r="M31" s="2"/>
      <c r="N31" s="2"/>
      <c r="O31" s="2"/>
      <c r="P31" s="2"/>
      <c r="Q31" s="2"/>
      <c r="R31" s="2"/>
      <c r="S31" s="2"/>
      <c r="T31" s="2"/>
      <c r="U31" s="2"/>
      <c r="V31" s="2"/>
      <c r="W31" s="2"/>
      <c r="X31" s="2"/>
      <c r="Y31" s="2"/>
      <c r="Z31" s="2"/>
    </row>
    <row r="32">
      <c r="A32" s="3" t="s">
        <v>62</v>
      </c>
      <c r="B32" s="3" t="s">
        <v>51</v>
      </c>
      <c r="C32" s="3" t="s">
        <v>19</v>
      </c>
      <c r="D32" s="3" t="s">
        <v>15</v>
      </c>
      <c r="E32" s="3" t="s">
        <v>22</v>
      </c>
      <c r="F32" s="4">
        <v>87.0</v>
      </c>
      <c r="G32" s="4">
        <v>2832.0</v>
      </c>
      <c r="H32" s="5">
        <v>44957.0</v>
      </c>
      <c r="I32" s="4">
        <v>246384.0</v>
      </c>
      <c r="J32" s="2"/>
      <c r="K32" s="2"/>
      <c r="L32" s="2"/>
      <c r="M32" s="2"/>
      <c r="N32" s="2"/>
      <c r="O32" s="2"/>
      <c r="P32" s="2"/>
      <c r="Q32" s="2"/>
      <c r="R32" s="2"/>
      <c r="S32" s="2"/>
      <c r="T32" s="2"/>
      <c r="U32" s="2"/>
      <c r="V32" s="2"/>
      <c r="W32" s="2"/>
      <c r="X32" s="2"/>
      <c r="Y32" s="2"/>
      <c r="Z32" s="2"/>
    </row>
    <row r="33">
      <c r="A33" s="3" t="s">
        <v>63</v>
      </c>
      <c r="B33" s="3" t="s">
        <v>41</v>
      </c>
      <c r="C33" s="3" t="s">
        <v>11</v>
      </c>
      <c r="D33" s="3" t="s">
        <v>12</v>
      </c>
      <c r="E33" s="3" t="s">
        <v>16</v>
      </c>
      <c r="F33" s="4">
        <v>33.0</v>
      </c>
      <c r="G33" s="4">
        <v>3414.0</v>
      </c>
      <c r="H33" s="5">
        <v>44958.0</v>
      </c>
      <c r="I33" s="4">
        <v>112662.0</v>
      </c>
      <c r="J33" s="2"/>
      <c r="K33" s="2"/>
      <c r="L33" s="2"/>
      <c r="M33" s="2"/>
      <c r="N33" s="2"/>
      <c r="O33" s="2"/>
      <c r="P33" s="2"/>
      <c r="Q33" s="2"/>
      <c r="R33" s="2"/>
      <c r="S33" s="2"/>
      <c r="T33" s="2"/>
      <c r="U33" s="2"/>
      <c r="V33" s="2"/>
      <c r="W33" s="2"/>
      <c r="X33" s="2"/>
      <c r="Y33" s="2"/>
      <c r="Z33" s="2"/>
    </row>
    <row r="34">
      <c r="A34" s="3" t="s">
        <v>64</v>
      </c>
      <c r="B34" s="3" t="s">
        <v>26</v>
      </c>
      <c r="C34" s="3" t="s">
        <v>19</v>
      </c>
      <c r="D34" s="3" t="s">
        <v>15</v>
      </c>
      <c r="E34" s="3" t="s">
        <v>13</v>
      </c>
      <c r="F34" s="4">
        <v>46.0</v>
      </c>
      <c r="G34" s="4">
        <v>1579.0</v>
      </c>
      <c r="H34" s="5">
        <v>44959.0</v>
      </c>
      <c r="I34" s="4">
        <v>72634.0</v>
      </c>
      <c r="J34" s="2"/>
      <c r="K34" s="2"/>
      <c r="L34" s="2"/>
      <c r="M34" s="2"/>
      <c r="N34" s="2"/>
      <c r="O34" s="2"/>
      <c r="P34" s="2"/>
      <c r="Q34" s="2"/>
      <c r="R34" s="2"/>
      <c r="S34" s="2"/>
      <c r="T34" s="2"/>
      <c r="U34" s="2"/>
      <c r="V34" s="2"/>
      <c r="W34" s="2"/>
      <c r="X34" s="2"/>
      <c r="Y34" s="2"/>
      <c r="Z34" s="2"/>
    </row>
    <row r="35">
      <c r="A35" s="3" t="s">
        <v>65</v>
      </c>
      <c r="B35" s="3" t="s">
        <v>21</v>
      </c>
      <c r="C35" s="3" t="s">
        <v>27</v>
      </c>
      <c r="D35" s="3" t="s">
        <v>24</v>
      </c>
      <c r="E35" s="3" t="s">
        <v>13</v>
      </c>
      <c r="F35" s="4">
        <v>14.0</v>
      </c>
      <c r="G35" s="4">
        <v>1342.0</v>
      </c>
      <c r="H35" s="5">
        <v>44960.0</v>
      </c>
      <c r="I35" s="4">
        <v>18788.0</v>
      </c>
      <c r="J35" s="2"/>
      <c r="K35" s="2"/>
      <c r="L35" s="2"/>
      <c r="M35" s="2"/>
      <c r="N35" s="2"/>
      <c r="O35" s="2"/>
      <c r="P35" s="2"/>
      <c r="Q35" s="2"/>
      <c r="R35" s="2"/>
      <c r="S35" s="2"/>
      <c r="T35" s="2"/>
      <c r="U35" s="2"/>
      <c r="V35" s="2"/>
      <c r="W35" s="2"/>
      <c r="X35" s="2"/>
      <c r="Y35" s="2"/>
      <c r="Z35" s="2"/>
    </row>
    <row r="36">
      <c r="A36" s="3" t="s">
        <v>66</v>
      </c>
      <c r="B36" s="3" t="s">
        <v>10</v>
      </c>
      <c r="C36" s="3" t="s">
        <v>38</v>
      </c>
      <c r="D36" s="3" t="s">
        <v>15</v>
      </c>
      <c r="E36" s="3" t="s">
        <v>33</v>
      </c>
      <c r="F36" s="4">
        <v>59.0</v>
      </c>
      <c r="G36" s="4">
        <v>1297.0</v>
      </c>
      <c r="H36" s="5">
        <v>44961.0</v>
      </c>
      <c r="I36" s="4">
        <v>76523.0</v>
      </c>
      <c r="J36" s="2"/>
      <c r="K36" s="2"/>
      <c r="L36" s="2"/>
      <c r="M36" s="2"/>
      <c r="N36" s="2"/>
      <c r="O36" s="2"/>
      <c r="P36" s="2"/>
      <c r="Q36" s="2"/>
      <c r="R36" s="2"/>
      <c r="S36" s="2"/>
      <c r="T36" s="2"/>
      <c r="U36" s="2"/>
      <c r="V36" s="2"/>
      <c r="W36" s="2"/>
      <c r="X36" s="2"/>
      <c r="Y36" s="2"/>
      <c r="Z36" s="2"/>
    </row>
    <row r="37">
      <c r="A37" s="3" t="s">
        <v>67</v>
      </c>
      <c r="B37" s="3" t="s">
        <v>32</v>
      </c>
      <c r="C37" s="3" t="s">
        <v>27</v>
      </c>
      <c r="D37" s="3" t="s">
        <v>15</v>
      </c>
      <c r="E37" s="3" t="s">
        <v>33</v>
      </c>
      <c r="F37" s="4">
        <v>71.0</v>
      </c>
      <c r="G37" s="4">
        <v>4518.0</v>
      </c>
      <c r="H37" s="5">
        <v>44962.0</v>
      </c>
      <c r="I37" s="4">
        <v>320778.0</v>
      </c>
      <c r="J37" s="2"/>
      <c r="K37" s="2"/>
      <c r="L37" s="2"/>
      <c r="M37" s="2"/>
      <c r="N37" s="2"/>
      <c r="O37" s="2"/>
      <c r="P37" s="2"/>
      <c r="Q37" s="2"/>
      <c r="R37" s="2"/>
      <c r="S37" s="2"/>
      <c r="T37" s="2"/>
      <c r="U37" s="2"/>
      <c r="V37" s="2"/>
      <c r="W37" s="2"/>
      <c r="X37" s="2"/>
      <c r="Y37" s="2"/>
      <c r="Z37" s="2"/>
    </row>
    <row r="38">
      <c r="A38" s="3" t="s">
        <v>68</v>
      </c>
      <c r="B38" s="3" t="s">
        <v>41</v>
      </c>
      <c r="C38" s="3" t="s">
        <v>35</v>
      </c>
      <c r="D38" s="3" t="s">
        <v>24</v>
      </c>
      <c r="E38" s="3" t="s">
        <v>22</v>
      </c>
      <c r="F38" s="4">
        <v>80.0</v>
      </c>
      <c r="G38" s="4">
        <v>2925.0</v>
      </c>
      <c r="H38" s="5">
        <v>44963.0</v>
      </c>
      <c r="I38" s="4">
        <v>234000.0</v>
      </c>
      <c r="J38" s="2"/>
      <c r="K38" s="2"/>
      <c r="L38" s="2"/>
      <c r="M38" s="2"/>
      <c r="N38" s="2"/>
      <c r="O38" s="2"/>
      <c r="P38" s="2"/>
      <c r="Q38" s="2"/>
      <c r="R38" s="2"/>
      <c r="S38" s="2"/>
      <c r="T38" s="2"/>
      <c r="U38" s="2"/>
      <c r="V38" s="2"/>
      <c r="W38" s="2"/>
      <c r="X38" s="2"/>
      <c r="Y38" s="2"/>
      <c r="Z38" s="2"/>
    </row>
    <row r="39">
      <c r="A39" s="3" t="s">
        <v>69</v>
      </c>
      <c r="B39" s="3" t="s">
        <v>18</v>
      </c>
      <c r="C39" s="3" t="s">
        <v>27</v>
      </c>
      <c r="D39" s="3" t="s">
        <v>70</v>
      </c>
      <c r="E39" s="3" t="s">
        <v>22</v>
      </c>
      <c r="F39" s="4">
        <v>57.0</v>
      </c>
      <c r="G39" s="4">
        <v>4951.0</v>
      </c>
      <c r="H39" s="5">
        <v>44964.0</v>
      </c>
      <c r="I39" s="4">
        <v>282207.0</v>
      </c>
      <c r="J39" s="2"/>
      <c r="K39" s="2"/>
      <c r="L39" s="2"/>
      <c r="M39" s="2"/>
      <c r="N39" s="2"/>
      <c r="O39" s="2"/>
      <c r="P39" s="2"/>
      <c r="Q39" s="2"/>
      <c r="R39" s="2"/>
      <c r="S39" s="2"/>
      <c r="T39" s="2"/>
      <c r="U39" s="2"/>
      <c r="V39" s="2"/>
      <c r="W39" s="2"/>
      <c r="X39" s="2"/>
      <c r="Y39" s="2"/>
      <c r="Z39" s="2"/>
    </row>
    <row r="40">
      <c r="A40" s="3" t="s">
        <v>71</v>
      </c>
      <c r="B40" s="3" t="s">
        <v>21</v>
      </c>
      <c r="C40" s="3" t="s">
        <v>38</v>
      </c>
      <c r="D40" s="3" t="s">
        <v>12</v>
      </c>
      <c r="E40" s="3" t="s">
        <v>13</v>
      </c>
      <c r="F40" s="4">
        <v>37.0</v>
      </c>
      <c r="G40" s="4">
        <v>1757.0</v>
      </c>
      <c r="H40" s="5">
        <v>44965.0</v>
      </c>
      <c r="I40" s="4">
        <v>65009.0</v>
      </c>
      <c r="J40" s="2"/>
      <c r="K40" s="2"/>
      <c r="L40" s="2"/>
      <c r="M40" s="2"/>
      <c r="N40" s="2"/>
      <c r="O40" s="2"/>
      <c r="P40" s="2"/>
      <c r="Q40" s="2"/>
      <c r="R40" s="2"/>
      <c r="S40" s="2"/>
      <c r="T40" s="2"/>
      <c r="U40" s="2"/>
      <c r="V40" s="2"/>
      <c r="W40" s="2"/>
      <c r="X40" s="2"/>
      <c r="Y40" s="2"/>
      <c r="Z40" s="2"/>
    </row>
    <row r="41">
      <c r="A41" s="3" t="s">
        <v>72</v>
      </c>
      <c r="B41" s="3" t="s">
        <v>10</v>
      </c>
      <c r="C41" s="3" t="s">
        <v>27</v>
      </c>
      <c r="D41" s="3" t="s">
        <v>28</v>
      </c>
      <c r="E41" s="3" t="s">
        <v>33</v>
      </c>
      <c r="F41" s="4">
        <v>24.0</v>
      </c>
      <c r="G41" s="4">
        <v>4412.0</v>
      </c>
      <c r="H41" s="5">
        <v>44966.0</v>
      </c>
      <c r="I41" s="4">
        <v>105888.0</v>
      </c>
      <c r="J41" s="2"/>
      <c r="K41" s="2"/>
      <c r="L41" s="2"/>
      <c r="M41" s="2"/>
      <c r="N41" s="2"/>
      <c r="O41" s="2"/>
      <c r="P41" s="2"/>
      <c r="Q41" s="2"/>
      <c r="R41" s="2"/>
      <c r="S41" s="2"/>
      <c r="T41" s="2"/>
      <c r="U41" s="2"/>
      <c r="V41" s="2"/>
      <c r="W41" s="2"/>
      <c r="X41" s="2"/>
      <c r="Y41" s="2"/>
      <c r="Z41" s="2"/>
    </row>
    <row r="42">
      <c r="A42" s="3" t="s">
        <v>73</v>
      </c>
      <c r="B42" s="3" t="s">
        <v>51</v>
      </c>
      <c r="C42" s="3" t="s">
        <v>19</v>
      </c>
      <c r="D42" s="3" t="s">
        <v>24</v>
      </c>
      <c r="E42" s="3" t="s">
        <v>13</v>
      </c>
      <c r="F42" s="4">
        <v>14.0</v>
      </c>
      <c r="G42" s="4">
        <v>1396.0</v>
      </c>
      <c r="H42" s="5">
        <v>44967.0</v>
      </c>
      <c r="I42" s="4">
        <v>19544.0</v>
      </c>
      <c r="J42" s="2"/>
      <c r="K42" s="2"/>
      <c r="L42" s="2"/>
      <c r="M42" s="2"/>
      <c r="N42" s="2"/>
      <c r="O42" s="2"/>
      <c r="P42" s="2"/>
      <c r="Q42" s="2"/>
      <c r="R42" s="2"/>
      <c r="S42" s="2"/>
      <c r="T42" s="2"/>
      <c r="U42" s="2"/>
      <c r="V42" s="2"/>
      <c r="W42" s="2"/>
      <c r="X42" s="2"/>
      <c r="Y42" s="2"/>
      <c r="Z42" s="2"/>
    </row>
    <row r="43">
      <c r="A43" s="3" t="s">
        <v>74</v>
      </c>
      <c r="B43" s="3" t="s">
        <v>32</v>
      </c>
      <c r="C43" s="3" t="s">
        <v>35</v>
      </c>
      <c r="D43" s="3" t="s">
        <v>70</v>
      </c>
      <c r="E43" s="3" t="s">
        <v>33</v>
      </c>
      <c r="F43" s="4">
        <v>65.0</v>
      </c>
      <c r="G43" s="4">
        <v>4050.0</v>
      </c>
      <c r="H43" s="5">
        <v>44968.0</v>
      </c>
      <c r="I43" s="4">
        <v>263250.0</v>
      </c>
      <c r="J43" s="2"/>
      <c r="K43" s="2"/>
      <c r="L43" s="2"/>
      <c r="M43" s="2"/>
      <c r="N43" s="2"/>
      <c r="O43" s="2"/>
      <c r="P43" s="2"/>
      <c r="Q43" s="2"/>
      <c r="R43" s="2"/>
      <c r="S43" s="2"/>
      <c r="T43" s="2"/>
      <c r="U43" s="2"/>
      <c r="V43" s="2"/>
      <c r="W43" s="2"/>
      <c r="X43" s="2"/>
      <c r="Y43" s="2"/>
      <c r="Z43" s="2"/>
    </row>
    <row r="44">
      <c r="A44" s="3" t="s">
        <v>75</v>
      </c>
      <c r="B44" s="3" t="s">
        <v>26</v>
      </c>
      <c r="C44" s="3" t="s">
        <v>35</v>
      </c>
      <c r="D44" s="3" t="s">
        <v>15</v>
      </c>
      <c r="E44" s="3" t="s">
        <v>33</v>
      </c>
      <c r="F44" s="4">
        <v>99.0</v>
      </c>
      <c r="G44" s="4">
        <v>3780.0</v>
      </c>
      <c r="H44" s="5">
        <v>44969.0</v>
      </c>
      <c r="I44" s="4">
        <v>374220.0</v>
      </c>
      <c r="J44" s="2"/>
      <c r="K44" s="2"/>
      <c r="L44" s="2"/>
      <c r="M44" s="2"/>
      <c r="N44" s="2"/>
      <c r="O44" s="2"/>
      <c r="P44" s="2"/>
      <c r="Q44" s="2"/>
      <c r="R44" s="2"/>
      <c r="S44" s="2"/>
      <c r="T44" s="2"/>
      <c r="U44" s="2"/>
      <c r="V44" s="2"/>
      <c r="W44" s="2"/>
      <c r="X44" s="2"/>
      <c r="Y44" s="2"/>
      <c r="Z44" s="2"/>
    </row>
    <row r="45">
      <c r="A45" s="3" t="s">
        <v>76</v>
      </c>
      <c r="B45" s="3" t="s">
        <v>32</v>
      </c>
      <c r="C45" s="3" t="s">
        <v>11</v>
      </c>
      <c r="D45" s="3" t="s">
        <v>12</v>
      </c>
      <c r="E45" s="3" t="s">
        <v>13</v>
      </c>
      <c r="F45" s="4">
        <v>99.0</v>
      </c>
      <c r="G45" s="4">
        <v>1075.0</v>
      </c>
      <c r="H45" s="5">
        <v>44970.0</v>
      </c>
      <c r="I45" s="4">
        <v>106425.0</v>
      </c>
      <c r="J45" s="2"/>
      <c r="K45" s="2"/>
      <c r="L45" s="2"/>
      <c r="M45" s="2"/>
      <c r="N45" s="2"/>
      <c r="O45" s="2"/>
      <c r="P45" s="2"/>
      <c r="Q45" s="2"/>
      <c r="R45" s="2"/>
      <c r="S45" s="2"/>
      <c r="T45" s="2"/>
      <c r="U45" s="2"/>
      <c r="V45" s="2"/>
      <c r="W45" s="2"/>
      <c r="X45" s="2"/>
      <c r="Y45" s="2"/>
      <c r="Z45" s="2"/>
    </row>
    <row r="46">
      <c r="A46" s="3" t="s">
        <v>77</v>
      </c>
      <c r="B46" s="3" t="s">
        <v>21</v>
      </c>
      <c r="C46" s="3" t="s">
        <v>35</v>
      </c>
      <c r="D46" s="3" t="s">
        <v>15</v>
      </c>
      <c r="E46" s="3" t="s">
        <v>13</v>
      </c>
      <c r="F46" s="4">
        <v>82.0</v>
      </c>
      <c r="G46" s="4">
        <v>2152.0</v>
      </c>
      <c r="H46" s="5">
        <v>44971.0</v>
      </c>
      <c r="I46" s="4">
        <v>176464.0</v>
      </c>
      <c r="J46" s="2"/>
      <c r="K46" s="2"/>
      <c r="L46" s="2"/>
      <c r="M46" s="2"/>
      <c r="N46" s="2"/>
      <c r="O46" s="2"/>
      <c r="P46" s="2"/>
      <c r="Q46" s="2"/>
      <c r="R46" s="2"/>
      <c r="S46" s="2"/>
      <c r="T46" s="2"/>
      <c r="U46" s="2"/>
      <c r="V46" s="2"/>
      <c r="W46" s="2"/>
      <c r="X46" s="2"/>
      <c r="Y46" s="2"/>
      <c r="Z46" s="2"/>
    </row>
    <row r="47">
      <c r="A47" s="3" t="s">
        <v>78</v>
      </c>
      <c r="B47" s="3" t="s">
        <v>18</v>
      </c>
      <c r="C47" s="3" t="s">
        <v>11</v>
      </c>
      <c r="D47" s="3" t="s">
        <v>70</v>
      </c>
      <c r="E47" s="3" t="s">
        <v>22</v>
      </c>
      <c r="F47" s="4">
        <v>97.0</v>
      </c>
      <c r="G47" s="4">
        <v>4983.0</v>
      </c>
      <c r="H47" s="5">
        <v>44972.0</v>
      </c>
      <c r="I47" s="4">
        <v>483351.0</v>
      </c>
      <c r="J47" s="2"/>
      <c r="K47" s="2"/>
      <c r="L47" s="2"/>
      <c r="M47" s="2"/>
      <c r="N47" s="2"/>
      <c r="O47" s="2"/>
      <c r="P47" s="2"/>
      <c r="Q47" s="2"/>
      <c r="R47" s="2"/>
      <c r="S47" s="2"/>
      <c r="T47" s="2"/>
      <c r="U47" s="2"/>
      <c r="V47" s="2"/>
      <c r="W47" s="2"/>
      <c r="X47" s="2"/>
      <c r="Y47" s="2"/>
      <c r="Z47" s="2"/>
    </row>
    <row r="48">
      <c r="A48" s="3" t="s">
        <v>79</v>
      </c>
      <c r="B48" s="3" t="s">
        <v>21</v>
      </c>
      <c r="C48" s="3" t="s">
        <v>27</v>
      </c>
      <c r="D48" s="3" t="s">
        <v>12</v>
      </c>
      <c r="E48" s="3" t="s">
        <v>13</v>
      </c>
      <c r="F48" s="4">
        <v>94.0</v>
      </c>
      <c r="G48" s="4">
        <v>4591.0</v>
      </c>
      <c r="H48" s="5">
        <v>44973.0</v>
      </c>
      <c r="I48" s="4">
        <v>431554.0</v>
      </c>
      <c r="J48" s="2"/>
      <c r="K48" s="2"/>
      <c r="L48" s="2"/>
      <c r="M48" s="2"/>
      <c r="N48" s="2"/>
      <c r="O48" s="2"/>
      <c r="P48" s="2"/>
      <c r="Q48" s="2"/>
      <c r="R48" s="2"/>
      <c r="S48" s="2"/>
      <c r="T48" s="2"/>
      <c r="U48" s="2"/>
      <c r="V48" s="2"/>
      <c r="W48" s="2"/>
      <c r="X48" s="2"/>
      <c r="Y48" s="2"/>
      <c r="Z48" s="2"/>
    </row>
    <row r="49">
      <c r="A49" s="3" t="s">
        <v>80</v>
      </c>
      <c r="B49" s="3" t="s">
        <v>26</v>
      </c>
      <c r="C49" s="3" t="s">
        <v>38</v>
      </c>
      <c r="D49" s="3" t="s">
        <v>15</v>
      </c>
      <c r="E49" s="3" t="s">
        <v>13</v>
      </c>
      <c r="F49" s="4">
        <v>63.0</v>
      </c>
      <c r="G49" s="4">
        <v>1793.0</v>
      </c>
      <c r="H49" s="5">
        <v>44974.0</v>
      </c>
      <c r="I49" s="4">
        <v>112959.0</v>
      </c>
      <c r="J49" s="2"/>
      <c r="K49" s="2"/>
      <c r="L49" s="2"/>
      <c r="M49" s="2"/>
      <c r="N49" s="2"/>
      <c r="O49" s="2"/>
      <c r="P49" s="2"/>
      <c r="Q49" s="2"/>
      <c r="R49" s="2"/>
      <c r="S49" s="2"/>
      <c r="T49" s="2"/>
      <c r="U49" s="2"/>
      <c r="V49" s="2"/>
      <c r="W49" s="2"/>
      <c r="X49" s="2"/>
      <c r="Y49" s="2"/>
      <c r="Z49" s="2"/>
    </row>
    <row r="50">
      <c r="A50" s="3" t="s">
        <v>81</v>
      </c>
      <c r="B50" s="3" t="s">
        <v>21</v>
      </c>
      <c r="C50" s="3" t="s">
        <v>27</v>
      </c>
      <c r="D50" s="3" t="s">
        <v>70</v>
      </c>
      <c r="E50" s="3" t="s">
        <v>16</v>
      </c>
      <c r="F50" s="4">
        <v>64.0</v>
      </c>
      <c r="G50" s="4">
        <v>3764.0</v>
      </c>
      <c r="H50" s="5">
        <v>44975.0</v>
      </c>
      <c r="I50" s="4">
        <v>240896.0</v>
      </c>
      <c r="J50" s="2"/>
      <c r="K50" s="2"/>
      <c r="L50" s="2"/>
      <c r="M50" s="2"/>
      <c r="N50" s="2"/>
      <c r="O50" s="2"/>
      <c r="P50" s="2"/>
      <c r="Q50" s="2"/>
      <c r="R50" s="2"/>
      <c r="S50" s="2"/>
      <c r="T50" s="2"/>
      <c r="U50" s="2"/>
      <c r="V50" s="2"/>
      <c r="W50" s="2"/>
      <c r="X50" s="2"/>
      <c r="Y50" s="2"/>
      <c r="Z50" s="2"/>
    </row>
    <row r="51">
      <c r="A51" s="3" t="s">
        <v>82</v>
      </c>
      <c r="B51" s="3" t="s">
        <v>32</v>
      </c>
      <c r="C51" s="3" t="s">
        <v>11</v>
      </c>
      <c r="D51" s="3" t="s">
        <v>70</v>
      </c>
      <c r="E51" s="3" t="s">
        <v>16</v>
      </c>
      <c r="F51" s="4">
        <v>83.0</v>
      </c>
      <c r="G51" s="4">
        <v>4055.0</v>
      </c>
      <c r="H51" s="5">
        <v>44976.0</v>
      </c>
      <c r="I51" s="4">
        <v>336565.0</v>
      </c>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customSheetViews>
    <customSheetView guid="{0BA9FAAD-79E0-46D4-A9A6-BE08B41C27F1}" filter="1" showAutoFilter="1">
      <autoFilter ref="$A$1:$I$51"/>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6" t="s">
        <v>83</v>
      </c>
      <c r="B2" s="6" t="s">
        <v>84</v>
      </c>
      <c r="C2" s="7" t="s">
        <v>85</v>
      </c>
      <c r="D2" s="7" t="s">
        <v>85</v>
      </c>
      <c r="E2" s="6" t="s">
        <v>86</v>
      </c>
    </row>
    <row r="3">
      <c r="A3" s="8" t="s">
        <v>87</v>
      </c>
      <c r="B3" s="7" t="str">
        <f>VLOOKUP("E1005", Sheet1!A:I, 3, FALSE)</f>
        <v>HR</v>
      </c>
    </row>
    <row r="4">
      <c r="A4" s="8" t="s">
        <v>91</v>
      </c>
      <c r="B4" s="7" t="str">
        <f>HLOOKUP("Product", Sheet1!A1:I51, 2, FALSE)</f>
        <v>Phone</v>
      </c>
    </row>
    <row r="5">
      <c r="A5" s="8" t="s">
        <v>92</v>
      </c>
      <c r="B5" s="7" t="str">
        <f t="array" ref="B5">_xlfn.XLOOKUP("Tablet", Sheet1!D:D, Sheet1!E:E)</f>
        <v>South</v>
      </c>
    </row>
    <row r="6">
      <c r="A6" s="8" t="s">
        <v>93</v>
      </c>
      <c r="B6" s="7">
        <f>VLOOKUP("E1010", Sheet1!A:I, 7, FALSE)</f>
        <v>4264</v>
      </c>
    </row>
    <row r="7">
      <c r="A7" s="8" t="s">
        <v>94</v>
      </c>
      <c r="B7" s="7">
        <f t="array" ref="B7">INDEX(Sheet1!G:G, MATCH("E1010", Sheet1!A:A, 0))</f>
        <v>4264</v>
      </c>
    </row>
    <row r="8"/>
    <row r="9">
      <c r="A9" s="8" t="s">
        <v>96</v>
      </c>
      <c r="B9" s="7">
        <f t="array" ref="B9">_xlfn.XLOOKUP("Frank", Sheet1!B:B, Sheet1!I:I)</f>
        <v>98716</v>
      </c>
    </row>
    <row r="10">
      <c r="A10" s="8" t="s">
        <v>97</v>
      </c>
      <c r="B10" s="7">
        <f t="array" ref="B10">_xlfn.XLOOKUP("Monitor", Sheet1!D:D, Sheet1!F:F)</f>
        <v>24</v>
      </c>
    </row>
    <row r="11">
      <c r="A11" s="8" t="s">
        <v>98</v>
      </c>
      <c r="B11" s="7" t="str">
        <f>LOOKUP("E1020", Sheet1!A:A, Sheet1!B:B)</f>
        <v>Bob</v>
      </c>
    </row>
    <row r="12">
      <c r="A12" s="8" t="s">
        <v>99</v>
      </c>
      <c r="B12" s="7" t="str">
        <f>IFERROR(__xludf.DUMMYFUNCTION("TEXTJOIN("", "", TRUE, FILTER(Sheet1!F:F, Sheet1!F:F &gt; 90))"),"Units Sold, 95, 99, 99, 97, 94")</f>
        <v>Units Sold, 95, 99, 99, 97, 94</v>
      </c>
    </row>
    <row r="13">
      <c r="A13" s="8" t="s">
        <v>100</v>
      </c>
      <c r="B13" s="7" t="str">
        <f>CHOOSE(2, Sheet1!A2, Sheet1!B2, Sheet1!C2)</f>
        <v>Grace</v>
      </c>
    </row>
    <row r="15"/>
    <row r="16"/>
    <row r="17"/>
    <row r="18"/>
    <row r="19"/>
    <row r="20"/>
    <row r="21"/>
    <row r="22"/>
    <row r="23"/>
    <row r="24"/>
    <row r="25"/>
    <row r="26"/>
    <row r="30"/>
    <row r="31"/>
    <row r="32"/>
    <row r="33"/>
    <row r="34"/>
    <row r="35"/>
    <row r="36"/>
  </sheetData>
  <drawing r:id="rId10"/>
  <extLst>
    <ext uri="{3A4CF648-6AED-40f4-86FF-DC5316D8AED3}">
      <x14:slicerList>
        <x14:slicer r:id="rId11"/>
      </x14:slicerList>
    </ext>
  </extLst>
</worksheet>
</file>